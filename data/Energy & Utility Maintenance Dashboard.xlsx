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AppData\Local\Packages\5319275A.WhatsAppDesktop_cv1g1gvanyjgm\LocalState\sessions\309A2D1C80351AA0D02BD6FFE846806309C8B1ED\transfers\2026-10\"/>
    </mc:Choice>
  </mc:AlternateContent>
  <xr:revisionPtr revIDLastSave="0" documentId="13_ncr:1_{9519F302-1743-4AEC-B0F7-4D60EE05BA41}" xr6:coauthVersionLast="47" xr6:coauthVersionMax="47" xr10:uidLastSave="{00000000-0000-0000-0000-000000000000}"/>
  <bookViews>
    <workbookView xWindow="-108" yWindow="-108" windowWidth="23256" windowHeight="12456" activeTab="2" xr2:uid="{0092E0FB-D500-4956-9202-C0A052E6659D}"/>
  </bookViews>
  <sheets>
    <sheet name="DATASET" sheetId="1" r:id="rId1"/>
    <sheet name="Pivot Table" sheetId="2" r:id="rId2"/>
    <sheet name="Dashboard" sheetId="4" r:id="rId3"/>
  </sheets>
  <definedNames>
    <definedName name="_xlchart.v1.0" hidden="1">'Pivot Table'!$T$12:$T$15</definedName>
    <definedName name="_xlchart.v1.1" hidden="1">'Pivot Table'!$U$12:$U$15</definedName>
    <definedName name="_xlchart.v1.2" hidden="1">'Pivot Table'!$V$12:$V$15</definedName>
    <definedName name="_xlchart.v1.3" hidden="1">'Pivot Table'!$W$12:$W$15</definedName>
    <definedName name="_xlnm.Print_Area" localSheetId="2">Dashboard!$E$3:$AP$164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<sst xmlns="http://schemas.openxmlformats.org/spreadsheetml/2006/main" count="114" uniqueCount="46">
  <si>
    <t>Month</t>
  </si>
  <si>
    <t>Utility System</t>
  </si>
  <si>
    <t>Total Energy Consumption (kWh)</t>
  </si>
  <si>
    <t>Energy Consumption per Unit of Production (kWh)</t>
  </si>
  <si>
    <t>Utility Downtime (Hours)</t>
  </si>
  <si>
    <t>Energy Cost per Unit Produced</t>
  </si>
  <si>
    <t>Peak Energy Demand (kW)</t>
  </si>
  <si>
    <t>Utility Equipment Availability (%)</t>
  </si>
  <si>
    <t>Energy Efficiency Ratio</t>
  </si>
  <si>
    <t>Water Consumption per Unit Produced (Liters)</t>
  </si>
  <si>
    <t>Energy Loss / Waste (%)</t>
  </si>
  <si>
    <t>Maintenance Cost of Utility Systems</t>
  </si>
  <si>
    <t>January</t>
  </si>
  <si>
    <t>Boiler Plant</t>
  </si>
  <si>
    <t>February</t>
  </si>
  <si>
    <t>Air Compressor System</t>
  </si>
  <si>
    <t>March</t>
  </si>
  <si>
    <t>Cooling Tower</t>
  </si>
  <si>
    <t>April</t>
  </si>
  <si>
    <t>Water Treatment Plant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</si>
  <si>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</si>
  <si>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</si>
  <si>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</si>
  <si>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</si>
  <si>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</si>
  <si>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</si>
  <si>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</si>
  <si>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</si>
  <si>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Total Energy Consumption (kWh)</t>
  </si>
  <si>
    <t>Sum of Energy Cost per Unit Produced</t>
  </si>
  <si>
    <t>Average of Energy Cost per Unit Produced</t>
  </si>
  <si>
    <t>Sum of Utility Downtime (Hours)</t>
  </si>
  <si>
    <t>Average of Utility Downtime (Hours)</t>
  </si>
  <si>
    <t>Average of Peak Energy Demand (kW)</t>
  </si>
  <si>
    <t>Average of Energy Efficiency Ratio</t>
  </si>
  <si>
    <t>Row Labels</t>
  </si>
  <si>
    <t>Grand Total</t>
  </si>
  <si>
    <t>Sum of Maintenance Cost of Utility Systems</t>
  </si>
  <si>
    <t>Average of Maintenance Cost of Utility Systems</t>
  </si>
  <si>
    <t>Average of Total Energy Consumption (kWh)</t>
  </si>
  <si>
    <t>utility</t>
  </si>
  <si>
    <t>ENERGY CONSUPTION</t>
  </si>
  <si>
    <t>UTILITY</t>
  </si>
  <si>
    <t>ENERGY EFFICIENCY RATIO</t>
  </si>
  <si>
    <t>Months</t>
  </si>
  <si>
    <t>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</si>
</sst>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_ &quot;₹&quot;\ * #,##0_ ;_ &quot;₹&quot;\ * \-#,##0_ ;_ &quot;₹&quot;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1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1" xfId="0" applyFont="1" applyFill="1" applyBorder="1"/>
    <xf numFmtId="0" fontId="0" fillId="3" borderId="0" xfId="0" applyFill="1"/>
    <xf numFmtId="0" fontId="0" fillId="3" borderId="0" xfId="0" applyFill="1" applyAlignment="1">
      <alignment horizontal="left"/>
    </xf>
    <xf numFmtId="164" fontId="0" fillId="3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33">
    <dxf>
      <numFmt numFmtId="1" formatCode="0"/>
    </dxf>
    <dxf>
      <numFmt numFmtId="10" formatCode="&quot;₹&quot;\ #,##0;[Red]&quot;₹&quot;\ \-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 &quot;₹&quot;\ * #,##0_ ;_ &quot;₹&quot;\ * \-#,##0_ ;_ &quot;₹&quot;\ * &quot;-&quot;??_ ;_ @_ "/>
    </dxf>
    <dxf>
      <numFmt numFmtId="1" formatCode="0"/>
    </dxf>
    <dxf>
      <numFmt numFmtId="13" formatCode="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3" formatCode="0%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64" formatCode="_ &quot;₹&quot;\ * #,##0_ ;_ &quot;₹&quot;\ * \-#,##0_ ;_ &quot;₹&quot;\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64" formatCode="_ &quot;₹&quot;\ * #,##0_ ;_ &quot;₹&quot;\ * \-#,##0_ ;_ &quot;₹&quot;\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 &quot;₹&quot;\ * #,##0_ ;_ &quot;₹&quot;\ * \-#,##0_ ;_ &quot;₹&quot;\ * &quot;-&quot;??_ ;_ @_ "/>
    </dxf>
  </dxfs>
  <tableStyles count="0" defaultTableStyle="TableStyleMedium2" defaultPivotStyle="PivotStyleLight16"/>
  <colors>
    <mruColors>
      <color rgb="FF008000"/>
      <color rgb="FF00CC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&amp; Utility Maintenance Dashboard.xlsx]Pivot Table!PivotTable6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000" b="1"/>
              <a:t>Maintenance Cost Distribution by Utility</a:t>
            </a:r>
            <a:r>
              <a:rPr lang="en-US" sz="3000" b="1" baseline="0"/>
              <a:t> System</a:t>
            </a:r>
            <a:endParaRPr lang="en-US" sz="3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 prst="artDeco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 prst="artDeco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 prst="artDeco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27000" prst="artDeco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Table'!$F$4:$F$8</c:f>
              <c:strCache>
                <c:ptCount val="4"/>
                <c:pt idx="0">
                  <c:v>Cooling Tower</c:v>
                </c:pt>
                <c:pt idx="1">
                  <c:v>Boiler Plant</c:v>
                </c:pt>
                <c:pt idx="2">
                  <c:v>Air Compressor System</c:v>
                </c:pt>
                <c:pt idx="3">
                  <c:v>Water Treatment Plant</c:v>
                </c:pt>
              </c:strCache>
            </c:strRef>
          </c:cat>
          <c:val>
            <c:numRef>
              <c:f>'Pivot Table'!$G$4:$G$8</c:f>
              <c:numCache>
                <c:formatCode>_ "₹"\ * #,##0_ ;_ "₹"\ * \-#,##0_ ;_ "₹"\ * "-"??_ ;_ @_ </c:formatCode>
                <c:ptCount val="4"/>
                <c:pt idx="0">
                  <c:v>218333.33333333334</c:v>
                </c:pt>
                <c:pt idx="1">
                  <c:v>245000</c:v>
                </c:pt>
                <c:pt idx="2">
                  <c:v>286666.66666666669</c:v>
                </c:pt>
                <c:pt idx="3">
                  <c:v>293333.33333333331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2-40F7-A8F0-C917FEE2BB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7453759"/>
        <c:axId val="307456159"/>
      </c:barChart>
      <c:catAx>
        <c:axId val="30745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56159"/>
        <c:crosses val="autoZero"/>
        <c:auto val="1"/>
        <c:lblAlgn val="ctr"/>
        <c:lblOffset val="100"/>
        <c:noMultiLvlLbl val="0"/>
      </c:catAx>
      <c:valAx>
        <c:axId val="307456159"/>
        <c:scaling>
          <c:orientation val="minMax"/>
        </c:scaling>
        <c:delete val="0"/>
        <c:axPos val="b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5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&amp; Utility Maintenance Dashboard.xlsx]Pivot Table!PivotTable7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000" b="1"/>
              <a:t>Monthly Energy Consuption</a:t>
            </a:r>
            <a:r>
              <a:rPr lang="en-IN" sz="3000" b="1" baseline="0"/>
              <a:t> &amp; Cost Trend</a:t>
            </a:r>
            <a:endParaRPr lang="en-IN" sz="3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01600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7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8"/>
        <c:spPr>
          <a:solidFill>
            <a:srgbClr val="7030A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9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11"/>
        <c:spPr>
          <a:solidFill>
            <a:srgbClr val="7030A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12"/>
        <c:spPr>
          <a:solidFill>
            <a:srgbClr val="7030A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13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14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15"/>
        <c:spPr>
          <a:solidFill>
            <a:srgbClr val="7030A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16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17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20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21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22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23"/>
        <c:spPr>
          <a:solidFill>
            <a:srgbClr val="7030A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24"/>
        <c:spPr>
          <a:solidFill>
            <a:srgbClr val="7030A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25"/>
        <c:spPr>
          <a:solidFill>
            <a:srgbClr val="7030A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26"/>
        <c:spPr>
          <a:solidFill>
            <a:srgbClr val="7030A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27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28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29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30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31"/>
        <c:spPr>
          <a:solidFill>
            <a:schemeClr val="accent1"/>
          </a:solidFill>
          <a:ln w="101600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34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35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36"/>
        <c:spPr>
          <a:solidFill>
            <a:srgbClr val="FFFF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37"/>
        <c:spPr>
          <a:solidFill>
            <a:srgbClr val="008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38"/>
        <c:spPr>
          <a:solidFill>
            <a:srgbClr val="008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39"/>
        <c:spPr>
          <a:solidFill>
            <a:srgbClr val="008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40"/>
        <c:spPr>
          <a:solidFill>
            <a:srgbClr val="008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41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42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43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44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</c:pivotFmt>
      <c:pivotFmt>
        <c:idx val="45"/>
        <c:spPr>
          <a:ln w="101600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276606773334085E-2"/>
          <c:y val="0.17431843067833128"/>
          <c:w val="0.88135429040244462"/>
          <c:h val="0.6112579976673199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'Pivot Table'!$K$3</c:f>
              <c:strCache>
                <c:ptCount val="1"/>
                <c:pt idx="0">
                  <c:v>Average of Total Energy Consumption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270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01-B0BC-43DA-BA86-17BE88DEA689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03-B0BC-43DA-BA86-17BE88DEA689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05-B0BC-43DA-BA86-17BE88DEA689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07-B0BC-43DA-BA86-17BE88DEA689}"/>
              </c:ext>
            </c:extLst>
          </c:dPt>
          <c:dPt>
            <c:idx val="4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09-B0BC-43DA-BA86-17BE88DEA689}"/>
              </c:ext>
            </c:extLst>
          </c:dPt>
          <c:dPt>
            <c:idx val="5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0B-B0BC-43DA-BA86-17BE88DEA689}"/>
              </c:ext>
            </c:extLst>
          </c:dPt>
          <c:dPt>
            <c:idx val="6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0D-B0BC-43DA-BA86-17BE88DEA689}"/>
              </c:ext>
            </c:extLst>
          </c:dPt>
          <c:dPt>
            <c:idx val="7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0F-B0BC-43DA-BA86-17BE88DEA689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11-B0BC-43DA-BA86-17BE88DEA689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13-B0BC-43DA-BA86-17BE88DEA689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15-B0BC-43DA-BA86-17BE88DEA689}"/>
              </c:ext>
            </c:extLst>
          </c:dPt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</a:sp3d>
            </c:spPr>
            <c:extLst>
              <c:ext xmlns:c16="http://schemas.microsoft.com/office/drawing/2014/chart" uri="{C3380CC4-5D6E-409C-BE32-E72D297353CC}">
                <c16:uniqueId val="{00000017-B0BC-43DA-BA86-17BE88DEA689}"/>
              </c:ext>
            </c:extLst>
          </c:dPt>
          <c:cat>
            <c:strRef>
              <c:f>'Pivot Table'!$I$4:$I$16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Table'!$K$4:$K$16</c:f>
              <c:numCache>
                <c:formatCode>0</c:formatCode>
                <c:ptCount val="12"/>
                <c:pt idx="0">
                  <c:v>520000</c:v>
                </c:pt>
                <c:pt idx="1">
                  <c:v>540000</c:v>
                </c:pt>
                <c:pt idx="2">
                  <c:v>505000</c:v>
                </c:pt>
                <c:pt idx="3">
                  <c:v>575000</c:v>
                </c:pt>
                <c:pt idx="4">
                  <c:v>530000</c:v>
                </c:pt>
                <c:pt idx="5">
                  <c:v>610000</c:v>
                </c:pt>
                <c:pt idx="6">
                  <c:v>495000</c:v>
                </c:pt>
                <c:pt idx="7">
                  <c:v>590000</c:v>
                </c:pt>
                <c:pt idx="8">
                  <c:v>535000</c:v>
                </c:pt>
                <c:pt idx="9">
                  <c:v>625000</c:v>
                </c:pt>
                <c:pt idx="10">
                  <c:v>500000</c:v>
                </c:pt>
                <c:pt idx="11">
                  <c:v>640000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0BC-43DA-BA86-17BE88DEA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6"/>
        <c:axId val="457430879"/>
        <c:axId val="457431839"/>
      </c:barChart>
      <c:lineChart>
        <c:grouping val="standard"/>
        <c:varyColors val="0"/>
        <c:ser>
          <c:idx val="0"/>
          <c:order val="0"/>
          <c:tx>
            <c:strRef>
              <c:f>'Pivot Table'!$J$3</c:f>
              <c:strCache>
                <c:ptCount val="1"/>
                <c:pt idx="0">
                  <c:v>Sum of Energy Cost per Unit Produced</c:v>
                </c:pt>
              </c:strCache>
            </c:strRef>
          </c:tx>
          <c:spPr>
            <a:ln w="1016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Table'!$I$4:$I$16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Table'!$J$4:$J$16</c:f>
              <c:numCache>
                <c:formatCode>_ "₹"\ * #,##0_ ;_ "₹"\ * \-#,##0_ ;_ "₹"\ * "-"??_ ;_ @_ </c:formatCode>
                <c:ptCount val="12"/>
                <c:pt idx="0">
                  <c:v>3.2</c:v>
                </c:pt>
                <c:pt idx="1">
                  <c:v>3.35</c:v>
                </c:pt>
                <c:pt idx="2">
                  <c:v>3.1</c:v>
                </c:pt>
                <c:pt idx="3">
                  <c:v>3.5</c:v>
                </c:pt>
                <c:pt idx="4">
                  <c:v>3.25</c:v>
                </c:pt>
                <c:pt idx="5">
                  <c:v>3.7</c:v>
                </c:pt>
                <c:pt idx="6">
                  <c:v>3.05</c:v>
                </c:pt>
                <c:pt idx="7">
                  <c:v>3.55</c:v>
                </c:pt>
                <c:pt idx="8">
                  <c:v>3.3</c:v>
                </c:pt>
                <c:pt idx="9">
                  <c:v>3.75</c:v>
                </c:pt>
                <c:pt idx="10">
                  <c:v>3.1</c:v>
                </c:pt>
                <c:pt idx="11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0BC-43DA-BA86-17BE88DEA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436879"/>
        <c:axId val="2115437359"/>
      </c:lineChart>
      <c:catAx>
        <c:axId val="211543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37359"/>
        <c:crosses val="autoZero"/>
        <c:auto val="1"/>
        <c:lblAlgn val="ctr"/>
        <c:lblOffset val="100"/>
        <c:noMultiLvlLbl val="0"/>
      </c:catAx>
      <c:valAx>
        <c:axId val="2115437359"/>
        <c:scaling>
          <c:orientation val="minMax"/>
        </c:scaling>
        <c:delete val="0"/>
        <c:axPos val="l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36879"/>
        <c:crosses val="autoZero"/>
        <c:crossBetween val="between"/>
      </c:valAx>
      <c:valAx>
        <c:axId val="457431839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430879"/>
        <c:crosses val="max"/>
        <c:crossBetween val="between"/>
      </c:valAx>
      <c:catAx>
        <c:axId val="457430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74318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040244969378833E-3"/>
          <c:y val="0.11226742490522018"/>
          <c:w val="0.98914041994750657"/>
          <c:h val="9.4909594634004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&amp; Utility Maintenance Dashboard.xlsx]Pivot Table!PivotTable8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000" b="1"/>
              <a:t>Downtime Hours by Utility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70C0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  <c:pivotFmt>
        <c:idx val="8"/>
        <c:spPr>
          <a:solidFill>
            <a:srgbClr val="C00000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  <c:pivotFmt>
        <c:idx val="9"/>
        <c:spPr>
          <a:solidFill>
            <a:srgbClr val="00CC00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  <c:pivotFmt>
        <c:idx val="10"/>
        <c:spPr>
          <a:solidFill>
            <a:srgbClr val="FF33CC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70C0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  <c:pivotFmt>
        <c:idx val="14"/>
        <c:spPr>
          <a:solidFill>
            <a:srgbClr val="00CC00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  <c:pivotFmt>
        <c:idx val="15"/>
        <c:spPr>
          <a:solidFill>
            <a:srgbClr val="FF33CC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70C0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  <c:pivotFmt>
        <c:idx val="19"/>
        <c:spPr>
          <a:solidFill>
            <a:srgbClr val="00CC00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  <c:pivotFmt>
        <c:idx val="20"/>
        <c:spPr>
          <a:solidFill>
            <a:srgbClr val="FFFF00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T w="114300" h="95250" prst="riblet"/>
          </a:sp3d>
        </c:spPr>
      </c:pivotFmt>
    </c:pivotFmts>
    <c:plotArea>
      <c:layout>
        <c:manualLayout>
          <c:layoutTarget val="inner"/>
          <c:xMode val="edge"/>
          <c:yMode val="edge"/>
          <c:x val="0.27706007759791063"/>
          <c:y val="0.16545790334570434"/>
          <c:w val="0.67385335407974889"/>
          <c:h val="0.75908002326120527"/>
        </c:manualLayout>
      </c:layout>
      <c:doughnutChart>
        <c:varyColors val="1"/>
        <c:ser>
          <c:idx val="0"/>
          <c:order val="0"/>
          <c:tx>
            <c:strRef>
              <c:f>'Pivot Table'!$N$3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 w="114300" h="95250" prst="riblet"/>
            </a:sp3d>
          </c:spPr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14300" h="95250" prst="riblet"/>
              </a:sp3d>
            </c:spPr>
            <c:extLst>
              <c:ext xmlns:c16="http://schemas.microsoft.com/office/drawing/2014/chart" uri="{C3380CC4-5D6E-409C-BE32-E72D297353CC}">
                <c16:uniqueId val="{00000001-7F33-4AC3-9317-87D63FDF3C0C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14300" h="95250" prst="riblet"/>
              </a:sp3d>
            </c:spPr>
            <c:extLst>
              <c:ext xmlns:c16="http://schemas.microsoft.com/office/drawing/2014/chart" uri="{C3380CC4-5D6E-409C-BE32-E72D297353CC}">
                <c16:uniqueId val="{00000003-7F33-4AC3-9317-87D63FDF3C0C}"/>
              </c:ext>
            </c:extLst>
          </c:dPt>
          <c:dPt>
            <c:idx val="2"/>
            <c:bubble3D val="0"/>
            <c:spPr>
              <a:solidFill>
                <a:srgbClr val="00CC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14300" h="95250" prst="riblet"/>
              </a:sp3d>
            </c:spPr>
            <c:extLst>
              <c:ext xmlns:c16="http://schemas.microsoft.com/office/drawing/2014/chart" uri="{C3380CC4-5D6E-409C-BE32-E72D297353CC}">
                <c16:uniqueId val="{00000005-7F33-4AC3-9317-87D63FDF3C0C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14300" h="95250" prst="riblet"/>
              </a:sp3d>
            </c:spPr>
            <c:extLst>
              <c:ext xmlns:c16="http://schemas.microsoft.com/office/drawing/2014/chart" uri="{C3380CC4-5D6E-409C-BE32-E72D297353CC}">
                <c16:uniqueId val="{00000007-7F33-4AC3-9317-87D63FDF3C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Table'!$M$4:$M$8</c:f>
              <c:strCache>
                <c:ptCount val="4"/>
                <c:pt idx="0">
                  <c:v>Air Compressor System</c:v>
                </c:pt>
                <c:pt idx="1">
                  <c:v>Boiler Plant</c:v>
                </c:pt>
                <c:pt idx="2">
                  <c:v>Cooling Tower</c:v>
                </c:pt>
                <c:pt idx="3">
                  <c:v>Water Treatment Plant</c:v>
                </c:pt>
              </c:strCache>
            </c:strRef>
          </c:cat>
          <c:val>
            <c:numRef>
              <c:f>'Pivot Table'!$N$4:$N$8</c:f>
              <c:numCache>
                <c:formatCode>General</c:formatCode>
                <c:ptCount val="4"/>
                <c:pt idx="0">
                  <c:v>84</c:v>
                </c:pt>
                <c:pt idx="1">
                  <c:v>57</c:v>
                </c:pt>
                <c:pt idx="2">
                  <c:v>45</c:v>
                </c:pt>
                <c:pt idx="3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33-4AC3-9317-87D63FDF3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0770097070661292E-3"/>
          <c:y val="0.12717263098588424"/>
          <c:w val="0.26906963488072022"/>
          <c:h val="0.84574445285365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&amp; Utility Maintenance Dashboard.xlsx]Pivot Table!PivotTable27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500" b="1"/>
              <a:t>MAINTENANCE COST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Table'!$U$27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27000"/>
            </a:sp3d>
          </c:spPr>
          <c:cat>
            <c:strRef>
              <c:f>'Pivot Table'!$T$28:$T$40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Table'!$U$28:$U$40</c:f>
              <c:numCache>
                <c:formatCode>_ "₹"\ * #,##0_ ;_ "₹"\ * \-#,##0_ ;_ "₹"\ * "-"??_ ;_ @_ </c:formatCode>
                <c:ptCount val="12"/>
                <c:pt idx="0">
                  <c:v>240000</c:v>
                </c:pt>
                <c:pt idx="1">
                  <c:v>255000</c:v>
                </c:pt>
                <c:pt idx="2">
                  <c:v>220000</c:v>
                </c:pt>
                <c:pt idx="3">
                  <c:v>270000</c:v>
                </c:pt>
                <c:pt idx="4">
                  <c:v>245000</c:v>
                </c:pt>
                <c:pt idx="5">
                  <c:v>295000</c:v>
                </c:pt>
                <c:pt idx="6">
                  <c:v>215000</c:v>
                </c:pt>
                <c:pt idx="7">
                  <c:v>280000</c:v>
                </c:pt>
                <c:pt idx="8">
                  <c:v>250000</c:v>
                </c:pt>
                <c:pt idx="9">
                  <c:v>310000</c:v>
                </c:pt>
                <c:pt idx="10">
                  <c:v>220000</c:v>
                </c:pt>
                <c:pt idx="11">
                  <c:v>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D-4518-9C91-96ED52A02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199279"/>
        <c:axId val="265192559"/>
      </c:areaChart>
      <c:catAx>
        <c:axId val="265199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92559"/>
        <c:crosses val="autoZero"/>
        <c:auto val="1"/>
        <c:lblAlgn val="ctr"/>
        <c:lblOffset val="100"/>
        <c:noMultiLvlLbl val="0"/>
      </c:catAx>
      <c:valAx>
        <c:axId val="26519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9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500" b="1"/>
              <a:t>Energy Consuption vs EFFICIENCY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'Pivot Table'!$K$35</c:f>
              <c:strCache>
                <c:ptCount val="1"/>
                <c:pt idx="0">
                  <c:v>ENERGY EFFICIENCY RATIO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190500">
                <a:solidFill>
                  <a:schemeClr val="accent2"/>
                </a:solidFill>
              </a:ln>
              <a:effectLst/>
            </c:spPr>
          </c:marker>
          <c:xVal>
            <c:strRef>
              <c:f>'Pivot Table'!$I$36:$I$39</c:f>
              <c:strCache>
                <c:ptCount val="4"/>
                <c:pt idx="0">
                  <c:v>Air Compressor System</c:v>
                </c:pt>
                <c:pt idx="1">
                  <c:v>Boiler Plant</c:v>
                </c:pt>
                <c:pt idx="2">
                  <c:v>Cooling Tower</c:v>
                </c:pt>
                <c:pt idx="3">
                  <c:v>Water Treatment Plant</c:v>
                </c:pt>
              </c:strCache>
            </c:strRef>
          </c:xVal>
          <c:yVal>
            <c:numRef>
              <c:f>'Pivot Table'!$K$36:$K$39</c:f>
              <c:numCache>
                <c:formatCode>0%</c:formatCode>
                <c:ptCount val="4"/>
                <c:pt idx="0">
                  <c:v>0.82666666666666666</c:v>
                </c:pt>
                <c:pt idx="1">
                  <c:v>0.87666666666666659</c:v>
                </c:pt>
                <c:pt idx="2">
                  <c:v>0.90333333333333332</c:v>
                </c:pt>
                <c:pt idx="3">
                  <c:v>0.81666666666666676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B-4637-A231-286C70507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8967759"/>
        <c:axId val="2038960559"/>
      </c:scatterChart>
      <c:scatterChart>
        <c:scatterStyle val="lineMarker"/>
        <c:varyColors val="0"/>
        <c:ser>
          <c:idx val="0"/>
          <c:order val="0"/>
          <c:tx>
            <c:strRef>
              <c:f>'Pivot Table'!$J$35</c:f>
              <c:strCache>
                <c:ptCount val="1"/>
                <c:pt idx="0">
                  <c:v>ENERGY CONSUPTION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190500">
                <a:solidFill>
                  <a:schemeClr val="accent1"/>
                </a:solidFill>
              </a:ln>
              <a:effectLst/>
            </c:spPr>
          </c:marker>
          <c:xVal>
            <c:strRef>
              <c:f>'Pivot Table'!$I$36:$I$39</c:f>
              <c:strCache>
                <c:ptCount val="4"/>
                <c:pt idx="0">
                  <c:v>Air Compressor System</c:v>
                </c:pt>
                <c:pt idx="1">
                  <c:v>Boiler Plant</c:v>
                </c:pt>
                <c:pt idx="2">
                  <c:v>Cooling Tower</c:v>
                </c:pt>
                <c:pt idx="3">
                  <c:v>Water Treatment Plant</c:v>
                </c:pt>
              </c:strCache>
            </c:strRef>
          </c:xVal>
          <c:yVal>
            <c:numRef>
              <c:f>'Pivot Table'!$J$36:$J$39</c:f>
              <c:numCache>
                <c:formatCode>General</c:formatCode>
                <c:ptCount val="4"/>
                <c:pt idx="0">
                  <c:v>1775000</c:v>
                </c:pt>
                <c:pt idx="1">
                  <c:v>1585000</c:v>
                </c:pt>
                <c:pt idx="2">
                  <c:v>1500000</c:v>
                </c:pt>
                <c:pt idx="3">
                  <c:v>1805000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9B-4637-A231-286C70507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030799"/>
        <c:axId val="667035119"/>
      </c:scatterChart>
      <c:valAx>
        <c:axId val="203896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60559"/>
        <c:crosses val="autoZero"/>
        <c:crossBetween val="midCat"/>
      </c:valAx>
      <c:valAx>
        <c:axId val="203896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67759"/>
        <c:crosses val="autoZero"/>
        <c:crossBetween val="midCat"/>
      </c:valAx>
      <c:valAx>
        <c:axId val="6670351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30799"/>
        <c:crosses val="max"/>
        <c:crossBetween val="midCat"/>
      </c:valAx>
      <c:valAx>
        <c:axId val="667030799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35119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</cx:chartData>
  <cx:chart>
    <cx:title pos="t" align="ctr" overlay="0">
      <cx:tx>
        <cx:txData>
          <cx:v>Energy Cost Drivers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3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Energy Cost Drivers</a:t>
          </a:r>
        </a:p>
      </cx:txPr>
    </cx:title>
    <cx:plotArea>
      <cx:plotAreaRegion>
        <cx:series layoutId="waterfall" uniqueId="{2290E6B3-ADC2-42C5-B29B-F25174A85F24}" formatIdx="0">
          <cx:spPr>
            <a:solidFill>
              <a:srgbClr val="00CC00"/>
            </a:solidFill>
          </cx:spPr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500" b="1"/>
                </a:pPr>
                <a:endParaRPr lang="en-US" sz="25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25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₹ 8,60,000 </a:t>
                  </a:r>
                </a:p>
              </cx:txPr>
            </cx:dataLabel>
          </cx:dataLabels>
          <cx:dataId val="0"/>
          <cx:layoutPr>
            <cx:subtotals/>
          </cx:layoutPr>
        </cx:series>
        <cx:series layoutId="waterfall" hidden="1" uniqueId="{AD1A958E-00D1-4CD3-82D6-099FC8E34CAF}" formatIdx="1"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7D8715AD-F600-49F9-BD12-54B28FF5C214}" formatIdx="2">
          <cx:dataLabels pos="outEnd">
            <cx:visibility seriesName="0" categoryName="0" value="1"/>
          </cx:dataLabels>
          <cx:dataId val="2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500" b="1"/>
            </a:pPr>
            <a:endParaRPr lang="en-US" sz="25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 b="1"/>
            </a:pPr>
            <a:endParaRPr lang="en-US" sz="2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image" Target="../media/image7.svg"/><Relationship Id="rId18" Type="http://schemas.openxmlformats.org/officeDocument/2006/relationships/image" Target="../media/image12.png"/><Relationship Id="rId3" Type="http://schemas.openxmlformats.org/officeDocument/2006/relationships/chart" Target="../charts/chart3.xml"/><Relationship Id="rId21" Type="http://schemas.openxmlformats.org/officeDocument/2006/relationships/image" Target="../media/image15.svg"/><Relationship Id="rId7" Type="http://schemas.openxmlformats.org/officeDocument/2006/relationships/image" Target="../media/image1.emf"/><Relationship Id="rId12" Type="http://schemas.openxmlformats.org/officeDocument/2006/relationships/image" Target="../media/image6.png"/><Relationship Id="rId17" Type="http://schemas.openxmlformats.org/officeDocument/2006/relationships/image" Target="../media/image11.svg"/><Relationship Id="rId2" Type="http://schemas.openxmlformats.org/officeDocument/2006/relationships/chart" Target="../charts/chart2.xml"/><Relationship Id="rId16" Type="http://schemas.openxmlformats.org/officeDocument/2006/relationships/image" Target="../media/image10.png"/><Relationship Id="rId20" Type="http://schemas.openxmlformats.org/officeDocument/2006/relationships/image" Target="../media/image14.png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11" Type="http://schemas.openxmlformats.org/officeDocument/2006/relationships/image" Target="../media/image5.emf"/><Relationship Id="rId5" Type="http://schemas.openxmlformats.org/officeDocument/2006/relationships/chart" Target="../charts/chart5.xml"/><Relationship Id="rId15" Type="http://schemas.openxmlformats.org/officeDocument/2006/relationships/image" Target="../media/image9.svg"/><Relationship Id="rId10" Type="http://schemas.openxmlformats.org/officeDocument/2006/relationships/image" Target="../media/image4.emf"/><Relationship Id="rId19" Type="http://schemas.openxmlformats.org/officeDocument/2006/relationships/image" Target="../media/image13.svg"/><Relationship Id="rId4" Type="http://schemas.openxmlformats.org/officeDocument/2006/relationships/chart" Target="../charts/chart4.xml"/><Relationship Id="rId9" Type="http://schemas.openxmlformats.org/officeDocument/2006/relationships/image" Target="../media/image3.emf"/><Relationship Id="rId14" Type="http://schemas.openxmlformats.org/officeDocument/2006/relationships/image" Target="../media/image8.png"/><Relationship Id="rId2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42</xdr:col>
      <xdr:colOff>330244</xdr:colOff>
      <xdr:row>162</xdr:row>
      <xdr:rowOff>5927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DBCB5CF-351F-499D-8C73-93124F5C0308}"/>
            </a:ext>
          </a:extLst>
        </xdr:cNvPr>
        <xdr:cNvGrpSpPr/>
      </xdr:nvGrpSpPr>
      <xdr:grpSpPr>
        <a:xfrm>
          <a:off x="3137647" y="717176"/>
          <a:ext cx="23548832" cy="28334398"/>
          <a:chOff x="21928667" y="1016000"/>
          <a:chExt cx="22886938" cy="28900967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89A66609-9E33-5185-4F1E-6F090EEFC4BC}"/>
              </a:ext>
            </a:extLst>
          </xdr:cNvPr>
          <xdr:cNvSpPr/>
        </xdr:nvSpPr>
        <xdr:spPr>
          <a:xfrm>
            <a:off x="21928667" y="1016000"/>
            <a:ext cx="22413669" cy="28900967"/>
          </a:xfrm>
          <a:prstGeom prst="roundRect">
            <a:avLst>
              <a:gd name="adj" fmla="val 3649"/>
            </a:avLst>
          </a:prstGeom>
          <a:solidFill>
            <a:srgbClr val="FFC611"/>
          </a:solidFill>
          <a:scene3d>
            <a:camera prst="orthographicFront"/>
            <a:lightRig rig="threePt" dir="t"/>
          </a:scene3d>
          <a:sp3d>
            <a:bevelT prst="slope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12945033-D70E-3CD2-8C88-6F27B7AE398E}"/>
              </a:ext>
            </a:extLst>
          </xdr:cNvPr>
          <xdr:cNvSpPr/>
        </xdr:nvSpPr>
        <xdr:spPr>
          <a:xfrm>
            <a:off x="22104305" y="1195528"/>
            <a:ext cx="22082211" cy="18792230"/>
          </a:xfrm>
          <a:prstGeom prst="roundRect">
            <a:avLst>
              <a:gd name="adj" fmla="val 3218"/>
            </a:avLst>
          </a:prstGeom>
          <a:solidFill>
            <a:srgbClr val="FFFF29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2D91A5D-DDFD-53FE-3383-CE1181E40E4D}"/>
              </a:ext>
            </a:extLst>
          </xdr:cNvPr>
          <xdr:cNvSpPr txBox="1"/>
        </xdr:nvSpPr>
        <xdr:spPr>
          <a:xfrm>
            <a:off x="25060516" y="1406344"/>
            <a:ext cx="19755089" cy="152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IN" sz="6600">
                <a:solidFill>
                  <a:schemeClr val="tx1">
                    <a:lumMod val="85000"/>
                    <a:lumOff val="15000"/>
                  </a:schemeClr>
                </a:solidFill>
                <a:latin typeface="Arial Black" panose="020B0A04020102020204" pitchFamily="34" charset="0"/>
              </a:rPr>
              <a:t>Energy &amp; Utility Maintenance Dashboard</a:t>
            </a:r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5191D592-2396-C0FA-170D-6547AED3BB22}"/>
              </a:ext>
            </a:extLst>
          </xdr:cNvPr>
          <xdr:cNvSpPr/>
        </xdr:nvSpPr>
        <xdr:spPr>
          <a:xfrm>
            <a:off x="22107609" y="20156251"/>
            <a:ext cx="22082211" cy="9517227"/>
          </a:xfrm>
          <a:prstGeom prst="roundRect">
            <a:avLst>
              <a:gd name="adj" fmla="val 6512"/>
            </a:avLst>
          </a:prstGeom>
          <a:solidFill>
            <a:schemeClr val="bg1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F49F9743-39F1-2706-B34C-8BE57B261A13}"/>
              </a:ext>
            </a:extLst>
          </xdr:cNvPr>
          <xdr:cNvSpPr/>
        </xdr:nvSpPr>
        <xdr:spPr>
          <a:xfrm>
            <a:off x="22221434" y="3049373"/>
            <a:ext cx="21826962" cy="16749046"/>
          </a:xfrm>
          <a:prstGeom prst="roundRect">
            <a:avLst>
              <a:gd name="adj" fmla="val 2601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77C392E4-F5BC-0384-A9AC-11C9ACB57C09}"/>
              </a:ext>
            </a:extLst>
          </xdr:cNvPr>
          <xdr:cNvSpPr/>
        </xdr:nvSpPr>
        <xdr:spPr>
          <a:xfrm>
            <a:off x="22393609" y="14715067"/>
            <a:ext cx="10674340" cy="4926329"/>
          </a:xfrm>
          <a:prstGeom prst="roundRect">
            <a:avLst>
              <a:gd name="adj" fmla="val 8280"/>
            </a:avLst>
          </a:prstGeom>
          <a:solidFill>
            <a:schemeClr val="bg1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prst="slope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50058194-98DC-3BA9-D411-2797592814E3}"/>
              </a:ext>
            </a:extLst>
          </xdr:cNvPr>
          <xdr:cNvSpPr/>
        </xdr:nvSpPr>
        <xdr:spPr>
          <a:xfrm>
            <a:off x="33177949" y="14711034"/>
            <a:ext cx="10899286" cy="4989926"/>
          </a:xfrm>
          <a:prstGeom prst="roundRect">
            <a:avLst>
              <a:gd name="adj" fmla="val 10417"/>
            </a:avLst>
          </a:prstGeom>
          <a:solidFill>
            <a:schemeClr val="bg1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prst="slope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D4057930-1FE9-7CAF-7694-E2079289F117}"/>
              </a:ext>
            </a:extLst>
          </xdr:cNvPr>
          <xdr:cNvSpPr/>
        </xdr:nvSpPr>
        <xdr:spPr>
          <a:xfrm>
            <a:off x="22196381" y="1243952"/>
            <a:ext cx="2596939" cy="1770009"/>
          </a:xfrm>
          <a:prstGeom prst="roundRect">
            <a:avLst>
              <a:gd name="adj" fmla="val 26667"/>
            </a:avLst>
          </a:prstGeom>
          <a:solidFill>
            <a:schemeClr val="bg1"/>
          </a:solidFill>
          <a:scene3d>
            <a:camera prst="orthographicFront"/>
            <a:lightRig rig="threePt" dir="t"/>
          </a:scene3d>
          <a:sp3d>
            <a:bevelT prst="slope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538015E2-EAA0-B11B-10EA-C444C90D8B41}"/>
              </a:ext>
            </a:extLst>
          </xdr:cNvPr>
          <xdr:cNvGrpSpPr/>
        </xdr:nvGrpSpPr>
        <xdr:grpSpPr>
          <a:xfrm>
            <a:off x="31098073" y="2802529"/>
            <a:ext cx="4154888" cy="2286785"/>
            <a:chOff x="30905625" y="3086246"/>
            <a:chExt cx="3338461" cy="2593635"/>
          </a:xfrm>
        </xdr:grpSpPr>
        <xdr:sp macro="" textlink="'Pivot Table'!$B$9">
          <xdr:nvSpPr>
            <xdr:cNvPr id="48" name="Rectangle: Rounded Corners 47">
              <a:extLst>
                <a:ext uri="{FF2B5EF4-FFF2-40B4-BE49-F238E27FC236}">
                  <a16:creationId xmlns:a16="http://schemas.microsoft.com/office/drawing/2014/main" id="{742E1E92-4509-19BE-0FDC-663D1F9AE4FC}"/>
                </a:ext>
              </a:extLst>
            </xdr:cNvPr>
            <xdr:cNvSpPr/>
          </xdr:nvSpPr>
          <xdr:spPr>
            <a:xfrm>
              <a:off x="30925517" y="3530414"/>
              <a:ext cx="3302606" cy="2149467"/>
            </a:xfrm>
            <a:prstGeom prst="roundRect">
              <a:avLst/>
            </a:prstGeom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prst="slop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8DC3C0E0-C077-4002-9E87-D90AAFDA558E}" type="TxLink">
                <a:rPr lang="en-US" sz="100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23</a:t>
              </a:fld>
              <a:endParaRPr lang="en-IN" sz="10000" b="1"/>
            </a:p>
          </xdr:txBody>
        </xdr: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5D134D1D-6068-0FD7-BECE-5FA717504DA3}"/>
                </a:ext>
              </a:extLst>
            </xdr:cNvPr>
            <xdr:cNvSpPr txBox="1"/>
          </xdr:nvSpPr>
          <xdr:spPr>
            <a:xfrm>
              <a:off x="30905625" y="3086246"/>
              <a:ext cx="3338461" cy="1443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marL="0" indent="0" algn="ctr"/>
              <a:r>
                <a:rPr lang="en-IN" sz="2100" b="1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rPr>
                <a:t>Average</a:t>
              </a:r>
              <a:r>
                <a:rPr lang="en-IN" sz="2100" b="1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rPr>
                <a:t> </a:t>
              </a:r>
              <a:r>
                <a:rPr lang="en-IN" sz="2100" b="1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rPr>
                <a:t>Downtime</a:t>
              </a:r>
              <a:r>
                <a:rPr lang="en-IN" sz="2100" b="1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rPr>
                <a:t> </a:t>
              </a:r>
              <a:r>
                <a:rPr lang="en-IN" sz="2100" b="1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rPr>
                <a:t>Hours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B4748CA8-6E56-FF9A-E55F-2340B3DF1FA1}"/>
              </a:ext>
            </a:extLst>
          </xdr:cNvPr>
          <xdr:cNvGrpSpPr/>
        </xdr:nvGrpSpPr>
        <xdr:grpSpPr>
          <a:xfrm>
            <a:off x="34940795" y="2898572"/>
            <a:ext cx="4675584" cy="2238367"/>
            <a:chOff x="34188091" y="3159906"/>
            <a:chExt cx="3755850" cy="2516784"/>
          </a:xfrm>
        </xdr:grpSpPr>
        <xdr:sp macro="" textlink="'Pivot Table'!$B$12">
          <xdr:nvSpPr>
            <xdr:cNvPr id="46" name="Rectangle: Rounded Corners 45">
              <a:extLst>
                <a:ext uri="{FF2B5EF4-FFF2-40B4-BE49-F238E27FC236}">
                  <a16:creationId xmlns:a16="http://schemas.microsoft.com/office/drawing/2014/main" id="{F77EC2A0-700D-7CB4-03DB-F2299C613ACE}"/>
                </a:ext>
              </a:extLst>
            </xdr:cNvPr>
            <xdr:cNvSpPr/>
          </xdr:nvSpPr>
          <xdr:spPr>
            <a:xfrm>
              <a:off x="34644322" y="3530549"/>
              <a:ext cx="3299619" cy="2146141"/>
            </a:xfrm>
            <a:prstGeom prst="roundRect">
              <a:avLst/>
            </a:prstGeom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prst="slop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marL="0" indent="0" algn="r"/>
              <a:fld id="{646B6D8D-E401-478F-BC6A-C7F9C0B56138}" type="TxLink">
                <a:rPr lang="en-US" sz="90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marL="0" indent="0" algn="r"/>
                <a:t>988</a:t>
              </a:fld>
              <a:endParaRPr lang="en-IN" sz="9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2B19F3C5-49BB-FA7B-C471-8D4DCC629606}"/>
                </a:ext>
              </a:extLst>
            </xdr:cNvPr>
            <xdr:cNvSpPr txBox="1"/>
          </xdr:nvSpPr>
          <xdr:spPr>
            <a:xfrm>
              <a:off x="34188091" y="3159906"/>
              <a:ext cx="3737024" cy="1338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marL="0" indent="0" algn="r"/>
              <a:r>
                <a:rPr lang="en-IN" sz="2100" b="1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rPr>
                <a:t>Peak energy </a:t>
              </a:r>
              <a:r>
                <a:rPr lang="en-IN" sz="2100" b="1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rPr>
                <a:t> </a:t>
              </a:r>
              <a:r>
                <a:rPr lang="en-IN" sz="2100" b="1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rPr>
                <a:t>demand(kw)</a:t>
              </a: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ECF8D40E-3E27-8B11-225A-6349C7FD8134}"/>
              </a:ext>
            </a:extLst>
          </xdr:cNvPr>
          <xdr:cNvGrpSpPr/>
        </xdr:nvGrpSpPr>
        <xdr:grpSpPr>
          <a:xfrm>
            <a:off x="26457047" y="3025962"/>
            <a:ext cx="4699073" cy="2055249"/>
            <a:chOff x="27005413" y="3351319"/>
            <a:chExt cx="3751242" cy="2324166"/>
          </a:xfrm>
        </xdr:grpSpPr>
        <xdr:sp macro="" textlink="'Pivot Table'!$B$6">
          <xdr:nvSpPr>
            <xdr:cNvPr id="44" name="Rectangle: Rounded Corners 43">
              <a:extLst>
                <a:ext uri="{FF2B5EF4-FFF2-40B4-BE49-F238E27FC236}">
                  <a16:creationId xmlns:a16="http://schemas.microsoft.com/office/drawing/2014/main" id="{FB26D2CB-7403-554A-C749-F31C72249011}"/>
                </a:ext>
              </a:extLst>
            </xdr:cNvPr>
            <xdr:cNvSpPr/>
          </xdr:nvSpPr>
          <xdr:spPr>
            <a:xfrm>
              <a:off x="27182175" y="3530600"/>
              <a:ext cx="3310029" cy="2144885"/>
            </a:xfrm>
            <a:prstGeom prst="roundRect">
              <a:avLst/>
            </a:prstGeom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prst="slop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marL="0" indent="0" algn="ctr"/>
              <a:fld id="{13A6F593-AC7A-43E4-9F7C-89F9199195B8}" type="TxLink">
                <a:rPr lang="en-US" sz="95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marL="0" indent="0" algn="ctr"/>
                <a:t>₹ 3</a:t>
              </a:fld>
              <a:endParaRPr lang="en-IN" sz="95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C216B463-34FC-4E9B-3EEF-6ED04148515E}"/>
                </a:ext>
              </a:extLst>
            </xdr:cNvPr>
            <xdr:cNvSpPr txBox="1"/>
          </xdr:nvSpPr>
          <xdr:spPr>
            <a:xfrm>
              <a:off x="27005413" y="3351319"/>
              <a:ext cx="3751242" cy="10843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IN" sz="2000" b="1">
                  <a:latin typeface="Arial Black" panose="020B0A04020102020204" pitchFamily="34" charset="0"/>
                </a:rPr>
                <a:t>Energy</a:t>
              </a:r>
              <a:r>
                <a:rPr lang="en-IN" sz="2000" b="1" baseline="0">
                  <a:latin typeface="Arial Black" panose="020B0A04020102020204" pitchFamily="34" charset="0"/>
                </a:rPr>
                <a:t> </a:t>
              </a:r>
              <a:r>
                <a:rPr lang="en-IN" sz="2000" b="1">
                  <a:latin typeface="Arial Black" panose="020B0A04020102020204" pitchFamily="34" charset="0"/>
                </a:rPr>
                <a:t>Cost Per</a:t>
              </a:r>
            </a:p>
            <a:p>
              <a:pPr algn="ctr"/>
              <a:r>
                <a:rPr lang="en-IN" sz="2000" b="1">
                  <a:latin typeface="Arial Black" panose="020B0A04020102020204" pitchFamily="34" charset="0"/>
                </a:rPr>
                <a:t> Unit</a:t>
              </a:r>
              <a:r>
                <a:rPr lang="en-IN" sz="2000" b="1" baseline="0">
                  <a:latin typeface="Arial Black" panose="020B0A04020102020204" pitchFamily="34" charset="0"/>
                </a:rPr>
                <a:t> </a:t>
              </a:r>
              <a:r>
                <a:rPr lang="en-IN" sz="2000" b="1">
                  <a:latin typeface="Arial Black" panose="020B0A04020102020204" pitchFamily="34" charset="0"/>
                </a:rPr>
                <a:t>Produced</a:t>
              </a:r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E7F3FC59-42D1-29EC-39D8-CD30DC2CC436}"/>
              </a:ext>
            </a:extLst>
          </xdr:cNvPr>
          <xdr:cNvGrpSpPr/>
        </xdr:nvGrpSpPr>
        <xdr:grpSpPr>
          <a:xfrm>
            <a:off x="39604018" y="2982273"/>
            <a:ext cx="4658127" cy="2154667"/>
            <a:chOff x="38194214" y="3249708"/>
            <a:chExt cx="3744177" cy="2429834"/>
          </a:xfrm>
        </xdr:grpSpPr>
        <xdr:sp macro="" textlink="'Pivot Table'!$B$15">
          <xdr:nvSpPr>
            <xdr:cNvPr id="42" name="Rectangle: Rounded Corners 41">
              <a:extLst>
                <a:ext uri="{FF2B5EF4-FFF2-40B4-BE49-F238E27FC236}">
                  <a16:creationId xmlns:a16="http://schemas.microsoft.com/office/drawing/2014/main" id="{0F582071-59CE-F6E4-B721-A3FCE7755BDC}"/>
                </a:ext>
              </a:extLst>
            </xdr:cNvPr>
            <xdr:cNvSpPr/>
          </xdr:nvSpPr>
          <xdr:spPr>
            <a:xfrm>
              <a:off x="38394273" y="3530428"/>
              <a:ext cx="3290229" cy="2149114"/>
            </a:xfrm>
            <a:prstGeom prst="roundRect">
              <a:avLst/>
            </a:prstGeom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prst="slop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marL="0" indent="0" algn="r"/>
              <a:fld id="{71DA050C-B35D-4055-AF2A-490E92DCD37E}" type="TxLink">
                <a:rPr lang="en-US" sz="90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marL="0" indent="0" algn="r"/>
                <a:t>86%</a:t>
              </a:fld>
              <a:endParaRPr lang="en-IN" sz="9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9BF9C7BB-FE37-B426-1195-2F6FEB4EC966}"/>
                </a:ext>
              </a:extLst>
            </xdr:cNvPr>
            <xdr:cNvSpPr txBox="1"/>
          </xdr:nvSpPr>
          <xdr:spPr>
            <a:xfrm>
              <a:off x="38194214" y="3249708"/>
              <a:ext cx="3744177" cy="1281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IN" sz="2200" b="1">
                  <a:latin typeface="Arial Black" panose="020B0A04020102020204" pitchFamily="34" charset="0"/>
                </a:rPr>
                <a:t>Energy Efficiency</a:t>
              </a:r>
              <a:r>
                <a:rPr lang="en-IN" sz="2200" b="1" baseline="0">
                  <a:latin typeface="Arial Black" panose="020B0A04020102020204" pitchFamily="34" charset="0"/>
                </a:rPr>
                <a:t> Ratio</a:t>
              </a:r>
              <a:endParaRPr lang="en-IN" sz="2200" b="1">
                <a:latin typeface="Arial Black" panose="020B0A04020102020204" pitchFamily="34" charset="0"/>
              </a:endParaRPr>
            </a:p>
          </xdr:txBody>
        </xdr:sp>
      </xdr:grp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EA2A6718-9584-6B26-284F-D5AE19CC7D66}"/>
              </a:ext>
            </a:extLst>
          </xdr:cNvPr>
          <xdr:cNvSpPr/>
        </xdr:nvSpPr>
        <xdr:spPr>
          <a:xfrm>
            <a:off x="22352935" y="5196755"/>
            <a:ext cx="6106951" cy="9416712"/>
          </a:xfrm>
          <a:prstGeom prst="roundRect">
            <a:avLst>
              <a:gd name="adj" fmla="val 6628"/>
            </a:avLst>
          </a:prstGeom>
          <a:solidFill>
            <a:schemeClr val="bg1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prst="slope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09406316-71B7-4CC4-445C-EE95173A9E75}"/>
              </a:ext>
            </a:extLst>
          </xdr:cNvPr>
          <xdr:cNvGraphicFramePr>
            <a:graphicFrameLocks/>
          </xdr:cNvGraphicFramePr>
        </xdr:nvGraphicFramePr>
        <xdr:xfrm>
          <a:off x="22525011" y="5262415"/>
          <a:ext cx="5822280" cy="92765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36B3F143-652E-AA39-6626-D02963CDB49A}"/>
              </a:ext>
            </a:extLst>
          </xdr:cNvPr>
          <xdr:cNvGrpSpPr/>
        </xdr:nvGrpSpPr>
        <xdr:grpSpPr>
          <a:xfrm>
            <a:off x="28603937" y="5264707"/>
            <a:ext cx="15395464" cy="4647716"/>
            <a:chOff x="29292751" y="5620594"/>
            <a:chExt cx="11462680" cy="4957682"/>
          </a:xfrm>
        </xdr:grpSpPr>
        <xdr:sp macro="" textlink="">
          <xdr:nvSpPr>
            <xdr:cNvPr id="40" name="Rectangle: Rounded Corners 39">
              <a:extLst>
                <a:ext uri="{FF2B5EF4-FFF2-40B4-BE49-F238E27FC236}">
                  <a16:creationId xmlns:a16="http://schemas.microsoft.com/office/drawing/2014/main" id="{078CD653-57E5-BA4C-293A-0D2B2D7D6715}"/>
                </a:ext>
              </a:extLst>
            </xdr:cNvPr>
            <xdr:cNvSpPr/>
          </xdr:nvSpPr>
          <xdr:spPr>
            <a:xfrm>
              <a:off x="29292752" y="5620595"/>
              <a:ext cx="11462679" cy="4957681"/>
            </a:xfrm>
            <a:prstGeom prst="roundRect">
              <a:avLst>
                <a:gd name="adj" fmla="val 5808"/>
              </a:avLst>
            </a:prstGeom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prst="slop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graphicFrame macro="">
          <xdr:nvGraphicFramePr>
            <xdr:cNvPr id="41" name="Chart 40">
              <a:extLst>
                <a:ext uri="{FF2B5EF4-FFF2-40B4-BE49-F238E27FC236}">
                  <a16:creationId xmlns:a16="http://schemas.microsoft.com/office/drawing/2014/main" id="{214532E2-D8FF-77A8-C854-951727A4C4B3}"/>
                </a:ext>
              </a:extLst>
            </xdr:cNvPr>
            <xdr:cNvGraphicFramePr>
              <a:graphicFrameLocks/>
            </xdr:cNvGraphicFramePr>
          </xdr:nvGraphicFramePr>
          <xdr:xfrm>
            <a:off x="29292751" y="5620594"/>
            <a:ext cx="11377384" cy="487414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F3820B36-9FC4-FD06-C436-FE0F6AC59D89}"/>
              </a:ext>
            </a:extLst>
          </xdr:cNvPr>
          <xdr:cNvSpPr/>
        </xdr:nvSpPr>
        <xdr:spPr>
          <a:xfrm>
            <a:off x="28614238" y="10036668"/>
            <a:ext cx="7163162" cy="4551399"/>
          </a:xfrm>
          <a:prstGeom prst="roundRect">
            <a:avLst>
              <a:gd name="adj" fmla="val 8925"/>
            </a:avLst>
          </a:prstGeom>
          <a:solidFill>
            <a:schemeClr val="bg1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prst="slope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69CCD3C2-49C9-0D62-5EE4-6FDFA98218C1}"/>
              </a:ext>
            </a:extLst>
          </xdr:cNvPr>
          <xdr:cNvGraphicFramePr>
            <a:graphicFrameLocks/>
          </xdr:cNvGraphicFramePr>
        </xdr:nvGraphicFramePr>
        <xdr:xfrm>
          <a:off x="28648527" y="10029054"/>
          <a:ext cx="6974973" cy="446916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F2C83FFE-0A27-0BB5-BD11-946F2C2933DD}"/>
              </a:ext>
            </a:extLst>
          </xdr:cNvPr>
          <xdr:cNvGraphicFramePr>
            <a:graphicFrameLocks/>
          </xdr:cNvGraphicFramePr>
        </xdr:nvGraphicFramePr>
        <xdr:xfrm>
          <a:off x="33334695" y="14891838"/>
          <a:ext cx="10586138" cy="47084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B1C3B119-385B-1565-C606-E381EF8D1C03}"/>
              </a:ext>
            </a:extLst>
          </xdr:cNvPr>
          <xdr:cNvSpPr/>
        </xdr:nvSpPr>
        <xdr:spPr>
          <a:xfrm>
            <a:off x="35938030" y="10035384"/>
            <a:ext cx="8049355" cy="4584483"/>
          </a:xfrm>
          <a:prstGeom prst="roundRect">
            <a:avLst>
              <a:gd name="adj" fmla="val 8925"/>
            </a:avLst>
          </a:prstGeom>
          <a:solidFill>
            <a:schemeClr val="bg1"/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prst="slope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E2052C3F-DCB0-BAB1-1A3D-871908593E29}"/>
              </a:ext>
            </a:extLst>
          </xdr:cNvPr>
          <xdr:cNvGraphicFramePr>
            <a:graphicFrameLocks/>
          </xdr:cNvGraphicFramePr>
        </xdr:nvGraphicFramePr>
        <xdr:xfrm>
          <a:off x="36000841" y="9981754"/>
          <a:ext cx="7763366" cy="45867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24" name="Chart 23">
                <a:extLst>
                  <a:ext uri="{FF2B5EF4-FFF2-40B4-BE49-F238E27FC236}">
                    <a16:creationId xmlns:a16="http://schemas.microsoft.com/office/drawing/2014/main" id="{B0FAF69E-D6FA-09DC-A381-68CBD21B1288}"/>
                  </a:ext>
                </a:extLst>
              </xdr:cNvPr>
              <xdr:cNvGraphicFramePr/>
            </xdr:nvGraphicFramePr>
            <xdr:xfrm>
              <a:off x="22393609" y="14715067"/>
              <a:ext cx="10533258" cy="4859866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6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2393609" y="14715067"/>
                <a:ext cx="10533258" cy="485986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BC201F8D-3848-1C8D-5378-E9C54CB1AF16}"/>
              </a:ext>
            </a:extLst>
          </xdr:cNvPr>
          <xdr:cNvGrpSpPr/>
        </xdr:nvGrpSpPr>
        <xdr:grpSpPr>
          <a:xfrm>
            <a:off x="22343948" y="2973008"/>
            <a:ext cx="4086584" cy="2163931"/>
            <a:chOff x="23420513" y="3217248"/>
            <a:chExt cx="3284399" cy="2447823"/>
          </a:xfrm>
        </xdr:grpSpPr>
        <xdr:sp macro="" textlink="">
          <xdr:nvSpPr>
            <xdr:cNvPr id="37" name="Rectangle: Rounded Corners 36">
              <a:extLst>
                <a:ext uri="{FF2B5EF4-FFF2-40B4-BE49-F238E27FC236}">
                  <a16:creationId xmlns:a16="http://schemas.microsoft.com/office/drawing/2014/main" id="{8C786BF2-5F3B-FE61-0473-7CE3F04E45A8}"/>
                </a:ext>
              </a:extLst>
            </xdr:cNvPr>
            <xdr:cNvSpPr/>
          </xdr:nvSpPr>
          <xdr:spPr>
            <a:xfrm>
              <a:off x="23428350" y="3479800"/>
              <a:ext cx="3276562" cy="2185271"/>
            </a:xfrm>
            <a:prstGeom prst="roundRect">
              <a:avLst/>
            </a:prstGeom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prst="slop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/>
              <a:endParaRPr lang="en-US" sz="1800" b="1"/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CEB732C-99B3-F999-97EF-96EA87C96F64}"/>
                </a:ext>
              </a:extLst>
            </xdr:cNvPr>
            <xdr:cNvSpPr txBox="1"/>
          </xdr:nvSpPr>
          <xdr:spPr>
            <a:xfrm>
              <a:off x="23513247" y="3943728"/>
              <a:ext cx="3152907" cy="16567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IN" sz="9500" b="1"/>
                <a:t>6.65</a:t>
              </a:r>
              <a:r>
                <a:rPr lang="en-IN" sz="4500" b="1"/>
                <a:t>Gwh</a:t>
              </a:r>
            </a:p>
          </xdr:txBody>
        </xdr: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8FF6A2A3-EEFD-31FA-024C-26F69156C2BC}"/>
                </a:ext>
              </a:extLst>
            </xdr:cNvPr>
            <xdr:cNvSpPr txBox="1"/>
          </xdr:nvSpPr>
          <xdr:spPr>
            <a:xfrm>
              <a:off x="23420513" y="3217248"/>
              <a:ext cx="3269156" cy="1143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IN" sz="2100" b="1">
                  <a:latin typeface="Arial Black" panose="020B0A04020102020204" pitchFamily="34" charset="0"/>
                </a:rPr>
                <a:t>Total Energy Consuption</a:t>
              </a:r>
            </a:p>
          </xdr:txBody>
        </xdr:sp>
      </xdr:grpSp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1A03FCA9-C884-AE54-7FE9-7E4374A7702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81490" y="23729079"/>
            <a:ext cx="10461144" cy="243790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63E8BA69-E391-65DE-2B2A-EC430F7298A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441903" y="20303067"/>
            <a:ext cx="9436931" cy="33358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53576D42-4966-3E26-88D3-5B74F0A8DAD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614512" y="20583401"/>
            <a:ext cx="11719138" cy="254876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98A65DAD-2B70-9B16-AE01-244CE9E154F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952267" y="23808267"/>
            <a:ext cx="11209866" cy="234805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9841F05B-212B-7586-F5B1-EA61D8FFF51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87467" y="26246667"/>
            <a:ext cx="21183600" cy="32681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6689A215-CE63-B1AD-22C2-8050C1014C91}"/>
              </a:ext>
            </a:extLst>
          </xdr:cNvPr>
          <xdr:cNvSpPr txBox="1"/>
        </xdr:nvSpPr>
        <xdr:spPr>
          <a:xfrm>
            <a:off x="32385000" y="3820583"/>
            <a:ext cx="3707702" cy="12745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ctr"/>
            <a:r>
              <a:rPr lang="en-IN" sz="3500" b="1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rPr>
              <a:t>hrs</a:t>
            </a:r>
          </a:p>
        </xdr:txBody>
      </xdr:sp>
      <xdr:pic>
        <xdr:nvPicPr>
          <xdr:cNvPr id="32" name="Graphic 31" descr="Lightbulb with solid fill">
            <a:extLst>
              <a:ext uri="{FF2B5EF4-FFF2-40B4-BE49-F238E27FC236}">
                <a16:creationId xmlns:a16="http://schemas.microsoft.com/office/drawing/2014/main" id="{12D19444-7EBC-CA4E-1756-CA9B19745B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40161107" y="3722689"/>
            <a:ext cx="1392311" cy="1302353"/>
          </a:xfrm>
          <a:prstGeom prst="rect">
            <a:avLst/>
          </a:prstGeom>
        </xdr:spPr>
      </xdr:pic>
      <xdr:pic>
        <xdr:nvPicPr>
          <xdr:cNvPr id="33" name="Graphic 32" descr="Atom with solid fill">
            <a:extLst>
              <a:ext uri="{FF2B5EF4-FFF2-40B4-BE49-F238E27FC236}">
                <a16:creationId xmlns:a16="http://schemas.microsoft.com/office/drawing/2014/main" id="{EDE3F92E-6190-366F-C289-94E9BA5A7A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35852875" y="3634562"/>
            <a:ext cx="1628001" cy="1516876"/>
          </a:xfrm>
          <a:prstGeom prst="rect">
            <a:avLst/>
          </a:prstGeom>
        </xdr:spPr>
      </xdr:pic>
      <xdr:pic>
        <xdr:nvPicPr>
          <xdr:cNvPr id="34" name="Graphic 33" descr="Clock with solid fill">
            <a:extLst>
              <a:ext uri="{FF2B5EF4-FFF2-40B4-BE49-F238E27FC236}">
                <a16:creationId xmlns:a16="http://schemas.microsoft.com/office/drawing/2014/main" id="{2B987D77-4D42-78BC-24B6-CCFC70985F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96DAC541-7B7A-43D3-8B79-37D633B846F1}">
                <asvg:svgBlip xmlns:asvg="http://schemas.microsoft.com/office/drawing/2016/SVG/main" r:embed="rId17"/>
              </a:ext>
            </a:extLst>
          </a:blip>
          <a:stretch>
            <a:fillRect/>
          </a:stretch>
        </xdr:blipFill>
        <xdr:spPr>
          <a:xfrm>
            <a:off x="31142479" y="3617874"/>
            <a:ext cx="1478002" cy="1388044"/>
          </a:xfrm>
          <a:prstGeom prst="rect">
            <a:avLst/>
          </a:prstGeom>
        </xdr:spPr>
      </xdr:pic>
      <xdr:pic>
        <xdr:nvPicPr>
          <xdr:cNvPr id="35" name="Graphic 34" descr="Money with solid fill">
            <a:extLst>
              <a:ext uri="{FF2B5EF4-FFF2-40B4-BE49-F238E27FC236}">
                <a16:creationId xmlns:a16="http://schemas.microsoft.com/office/drawing/2014/main" id="{05EDA14F-61CE-7E73-E16C-5124CF2FAE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96DAC541-7B7A-43D3-8B79-37D633B846F1}">
                <asvg:svgBlip xmlns:asvg="http://schemas.microsoft.com/office/drawing/2016/SVG/main" r:embed="rId19"/>
              </a:ext>
            </a:extLst>
          </a:blip>
          <a:stretch>
            <a:fillRect/>
          </a:stretch>
        </xdr:blipFill>
        <xdr:spPr>
          <a:xfrm>
            <a:off x="26861465" y="4099729"/>
            <a:ext cx="1098986" cy="1026057"/>
          </a:xfrm>
          <a:prstGeom prst="rect">
            <a:avLst/>
          </a:prstGeom>
        </xdr:spPr>
      </xdr:pic>
      <xdr:pic>
        <xdr:nvPicPr>
          <xdr:cNvPr id="36" name="Graphic 35" descr="Coins with solid fill">
            <a:extLst>
              <a:ext uri="{FF2B5EF4-FFF2-40B4-BE49-F238E27FC236}">
                <a16:creationId xmlns:a16="http://schemas.microsoft.com/office/drawing/2014/main" id="{CB3DED07-1F20-EDC0-4C3C-C22E4E3993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96DAC541-7B7A-43D3-8B79-37D633B846F1}">
                <asvg:svgBlip xmlns:asvg="http://schemas.microsoft.com/office/drawing/2016/SVG/main" r:embed="rId21"/>
              </a:ext>
            </a:extLst>
          </a:blip>
          <a:stretch>
            <a:fillRect/>
          </a:stretch>
        </xdr:blipFill>
        <xdr:spPr>
          <a:xfrm>
            <a:off x="29378730" y="3872895"/>
            <a:ext cx="1442585" cy="1326169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430696</xdr:colOff>
      <xdr:row>6</xdr:row>
      <xdr:rowOff>3073</xdr:rowOff>
    </xdr:from>
    <xdr:to>
      <xdr:col>9</xdr:col>
      <xdr:colOff>265044</xdr:colOff>
      <xdr:row>13</xdr:row>
      <xdr:rowOff>158105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50317A1-74D3-7D7A-75A4-BA0A2205F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2435" y="1195769"/>
          <a:ext cx="2219739" cy="154651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 Mudgal" refreshedDate="46088.433032407411" createdVersion="8" refreshedVersion="8" minRefreshableVersion="3" recordCount="12" xr:uid="{3BE4B39D-0D5C-486B-BD5D-69EB70576D04}">
  <cacheSource type="worksheet">
    <worksheetSource ref="A1:L13" sheet="DATASET"/>
  </cacheSource>
  <cacheFields count="12"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Utility System" numFmtId="0">
      <sharedItems count="4">
        <s v="Boiler Plant"/>
        <s v="Air Compressor System"/>
        <s v="Cooling Tower"/>
        <s v="Water Treatment Plant"/>
      </sharedItems>
    </cacheField>
    <cacheField name="Total Energy Consumption (kWh)" numFmtId="3">
      <sharedItems containsSemiMixedTypes="0" containsString="0" containsNumber="1" containsInteger="1" minValue="495000" maxValue="640000"/>
    </cacheField>
    <cacheField name="Energy Consumption per Unit of Production (kWh)" numFmtId="0">
      <sharedItems containsSemiMixedTypes="0" containsString="0" containsNumber="1" minValue="4.5" maxValue="6"/>
    </cacheField>
    <cacheField name="Utility Downtime (Hours)" numFmtId="0">
      <sharedItems containsSemiMixedTypes="0" containsString="0" containsNumber="1" containsInteger="1" minValue="14" maxValue="35" count="12">
        <n v="18"/>
        <n v="22"/>
        <n v="15"/>
        <n v="26"/>
        <n v="19"/>
        <n v="30"/>
        <n v="14"/>
        <n v="27"/>
        <n v="20"/>
        <n v="32"/>
        <n v="16"/>
        <n v="35"/>
      </sharedItems>
    </cacheField>
    <cacheField name="Energy Cost per Unit Produced" numFmtId="8">
      <sharedItems containsSemiMixedTypes="0" containsString="0" containsNumber="1" minValue="3.05" maxValue="3.9"/>
    </cacheField>
    <cacheField name="Peak Energy Demand (kW)" numFmtId="0">
      <sharedItems containsSemiMixedTypes="0" containsString="0" containsNumber="1" containsInteger="1" minValue="870" maxValue="1150"/>
    </cacheField>
    <cacheField name="Utility Equipment Availability (%)" numFmtId="9">
      <sharedItems containsSemiMixedTypes="0" containsString="0" containsNumber="1" minValue="0.89" maxValue="0.97"/>
    </cacheField>
    <cacheField name="Energy Efficiency Ratio" numFmtId="0">
      <sharedItems containsSemiMixedTypes="0" containsString="0" containsNumber="1" minValue="0.78" maxValue="0.91"/>
    </cacheField>
    <cacheField name="Water Consumption per Unit Produced (Liters)" numFmtId="0">
      <sharedItems containsSemiMixedTypes="0" containsString="0" containsNumber="1" containsInteger="1" minValue="39" maxValue="55"/>
    </cacheField>
    <cacheField name="Energy Loss / Waste (%)" numFmtId="9">
      <sharedItems containsSemiMixedTypes="0" containsString="0" containsNumber="1" minValue="0.05" maxValue="0.11" count="7">
        <n v="0.06"/>
        <n v="7.0000000000000007E-2"/>
        <n v="0.05"/>
        <n v="0.08"/>
        <n v="0.09"/>
        <n v="0.1"/>
        <n v="0.11"/>
      </sharedItems>
    </cacheField>
    <cacheField name="Maintenance Cost of Utility Systems" numFmtId="6">
      <sharedItems containsSemiMixedTypes="0" containsString="0" containsNumber="1" containsInteger="1" minValue="215000" maxValue="330000"/>
    </cacheField>
  </cacheFields>
  <extLst>
    <ext xmlns:x14="http://schemas.microsoft.com/office/spreadsheetml/2009/9/main" uri="{725AE2AE-9491-48be-B2B4-4EB974FC3084}">
      <x14:pivotCacheDefinition pivotCacheId="1195192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20000"/>
    <n v="4.8"/>
    <x v="0"/>
    <n v="3.2"/>
    <n v="920"/>
    <n v="0.95"/>
    <n v="0.88"/>
    <n v="42"/>
    <x v="0"/>
    <n v="240000"/>
  </r>
  <r>
    <x v="1"/>
    <x v="1"/>
    <n v="540000"/>
    <n v="5"/>
    <x v="1"/>
    <n v="3.35"/>
    <n v="960"/>
    <n v="0.94"/>
    <n v="0.86"/>
    <n v="45"/>
    <x v="1"/>
    <n v="255000"/>
  </r>
  <r>
    <x v="2"/>
    <x v="2"/>
    <n v="505000"/>
    <n v="4.5999999999999996"/>
    <x v="2"/>
    <n v="3.1"/>
    <n v="890"/>
    <n v="0.96"/>
    <n v="0.9"/>
    <n v="40"/>
    <x v="2"/>
    <n v="220000"/>
  </r>
  <r>
    <x v="3"/>
    <x v="3"/>
    <n v="575000"/>
    <n v="5.3"/>
    <x v="3"/>
    <n v="3.5"/>
    <n v="1020"/>
    <n v="0.92"/>
    <n v="0.84"/>
    <n v="48"/>
    <x v="3"/>
    <n v="270000"/>
  </r>
  <r>
    <x v="4"/>
    <x v="0"/>
    <n v="530000"/>
    <n v="4.9000000000000004"/>
    <x v="4"/>
    <n v="3.25"/>
    <n v="940"/>
    <n v="0.95"/>
    <n v="0.88"/>
    <n v="43"/>
    <x v="0"/>
    <n v="245000"/>
  </r>
  <r>
    <x v="5"/>
    <x v="1"/>
    <n v="610000"/>
    <n v="5.7"/>
    <x v="5"/>
    <n v="3.7"/>
    <n v="1100"/>
    <n v="0.91"/>
    <n v="0.82"/>
    <n v="50"/>
    <x v="4"/>
    <n v="295000"/>
  </r>
  <r>
    <x v="6"/>
    <x v="2"/>
    <n v="495000"/>
    <n v="4.5"/>
    <x v="6"/>
    <n v="3.05"/>
    <n v="870"/>
    <n v="0.97"/>
    <n v="0.91"/>
    <n v="39"/>
    <x v="2"/>
    <n v="215000"/>
  </r>
  <r>
    <x v="7"/>
    <x v="3"/>
    <n v="590000"/>
    <n v="5.5"/>
    <x v="7"/>
    <n v="3.55"/>
    <n v="1050"/>
    <n v="0.92"/>
    <n v="0.83"/>
    <n v="49"/>
    <x v="3"/>
    <n v="280000"/>
  </r>
  <r>
    <x v="8"/>
    <x v="0"/>
    <n v="535000"/>
    <n v="5"/>
    <x v="8"/>
    <n v="3.3"/>
    <n v="950"/>
    <n v="0.94"/>
    <n v="0.87"/>
    <n v="44"/>
    <x v="0"/>
    <n v="250000"/>
  </r>
  <r>
    <x v="9"/>
    <x v="1"/>
    <n v="625000"/>
    <n v="5.8"/>
    <x v="9"/>
    <n v="3.75"/>
    <n v="1120"/>
    <n v="0.9"/>
    <n v="0.8"/>
    <n v="52"/>
    <x v="5"/>
    <n v="310000"/>
  </r>
  <r>
    <x v="10"/>
    <x v="2"/>
    <n v="500000"/>
    <n v="4.5999999999999996"/>
    <x v="10"/>
    <n v="3.1"/>
    <n v="880"/>
    <n v="0.96"/>
    <n v="0.9"/>
    <n v="41"/>
    <x v="2"/>
    <n v="220000"/>
  </r>
  <r>
    <x v="11"/>
    <x v="3"/>
    <n v="640000"/>
    <n v="6"/>
    <x v="11"/>
    <n v="3.9"/>
    <n v="1150"/>
    <n v="0.89"/>
    <n v="0.78"/>
    <n v="55"/>
    <x v="6"/>
    <n v="3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42A0F-7753-4521-94BA-A4B89B00C6F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B12" firstHeaderRow="1" firstDataRow="1" firstDataCol="0"/>
  <pivotFields count="12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3" showAll="0"/>
    <pivotField showAll="0"/>
    <pivotField showAll="0"/>
    <pivotField numFmtId="8" showAll="0"/>
    <pivotField dataField="1" showAll="0"/>
    <pivotField numFmtId="9" showAll="0"/>
    <pivotField showAll="0"/>
    <pivotField showAll="0"/>
    <pivotField numFmtId="9" showAll="0"/>
    <pivotField numFmtId="6" showAll="0"/>
  </pivotFields>
  <rowItems count="1">
    <i/>
  </rowItems>
  <colItems count="1">
    <i/>
  </colItems>
  <dataFields count="1">
    <dataField name="Average of Peak Energy Demand (kW)" fld="6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397C2-F151-4E86-90C1-525E6DE6ACC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B6" firstHeaderRow="1" firstDataRow="1" firstDataCol="0"/>
  <pivotFields count="12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3" showAll="0"/>
    <pivotField showAll="0"/>
    <pivotField showAll="0"/>
    <pivotField dataField="1" numFmtId="8" showAll="0"/>
    <pivotField showAll="0"/>
    <pivotField numFmtId="9" showAll="0"/>
    <pivotField showAll="0"/>
    <pivotField showAll="0"/>
    <pivotField numFmtId="9" showAll="0"/>
    <pivotField numFmtId="6" showAll="0"/>
  </pivotFields>
  <rowItems count="1">
    <i/>
  </rowItems>
  <colItems count="1">
    <i/>
  </colItems>
  <dataFields count="1">
    <dataField name="Average of Energy Cost per Unit Produced" fld="5" subtotal="average" baseField="0" baseItem="0" numFmtId="6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2A8C8-D840-4299-9D52-D7A047D5194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3:G8" firstHeaderRow="1" firstDataRow="1" firstDataCol="1"/>
  <pivotFields count="12">
    <pivotField showAll="0"/>
    <pivotField axis="axisRow" showAll="0" sortType="a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showAll="0"/>
    <pivotField showAll="0"/>
    <pivotField numFmtId="8" showAll="0"/>
    <pivotField showAll="0"/>
    <pivotField numFmtId="9" showAll="0"/>
    <pivotField showAll="0"/>
    <pivotField showAll="0"/>
    <pivotField numFmtId="9" showAll="0"/>
    <pivotField dataField="1" numFmtId="6" showAll="0"/>
  </pivotFields>
  <rowFields count="1">
    <field x="1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Average of Maintenance Cost of Utility Systems" fld="11" subtotal="average" baseField="1" baseItem="0" numFmtId="164"/>
  </dataFields>
  <formats count="5"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</formats>
  <chartFormats count="1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A8185-359F-4672-8212-1E98A27E367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B9" firstHeaderRow="1" firstDataRow="1" firstDataCol="0"/>
  <pivotFields count="12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3" showAll="0"/>
    <pivotField showAll="0"/>
    <pivotField dataField="1" showAll="0"/>
    <pivotField numFmtId="8" showAll="0"/>
    <pivotField showAll="0"/>
    <pivotField numFmtId="9" showAll="0"/>
    <pivotField showAll="0"/>
    <pivotField showAll="0"/>
    <pivotField numFmtId="9" showAll="0"/>
    <pivotField numFmtId="6" showAll="0"/>
  </pivotFields>
  <rowItems count="1">
    <i/>
  </rowItems>
  <colItems count="1">
    <i/>
  </colItems>
  <dataFields count="1">
    <dataField name="Average of Utility Downtime (Hours)" fld="4" subtotal="average" baseField="0" baseItem="0" numFmtId="1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07AA8-3DEB-469F-9DB8-8D9D278BEC5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B15" firstHeaderRow="1" firstDataRow="1" firstDataCol="0"/>
  <pivotFields count="12">
    <pivotField showAll="0"/>
    <pivotField showAll="0"/>
    <pivotField numFmtId="3" showAll="0"/>
    <pivotField showAll="0"/>
    <pivotField showAll="0"/>
    <pivotField numFmtId="8" showAll="0"/>
    <pivotField showAll="0"/>
    <pivotField numFmtId="9" showAll="0"/>
    <pivotField dataField="1" showAll="0"/>
    <pivotField showAll="0"/>
    <pivotField numFmtId="9" showAll="0"/>
    <pivotField numFmtId="6" showAll="0"/>
  </pivotFields>
  <rowItems count="1">
    <i/>
  </rowItems>
  <colItems count="1">
    <i/>
  </colItems>
  <dataFields count="1">
    <dataField name="Average of Energy Efficiency Ratio" fld="8" subtotal="average" baseField="0" baseItem="0" numFmtId="9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DA017-A430-4F48-970F-B0F10AD7FFF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utility">
  <location ref="I28:K33" firstHeaderRow="0" firstDataRow="1" firstDataCol="1"/>
  <pivotFields count="12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numFmtId="3" showAll="0"/>
    <pivotField showAll="0"/>
    <pivotField showAll="0"/>
    <pivotField numFmtId="8" showAll="0"/>
    <pivotField showAll="0"/>
    <pivotField numFmtId="9" showAll="0"/>
    <pivotField dataField="1" showAll="0"/>
    <pivotField showAll="0"/>
    <pivotField numFmtId="9" showAll="0"/>
    <pivotField numFmtId="6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Energy Consumption (kWh)" fld="2" baseField="0" baseItem="0"/>
    <dataField name="Average of Energy Efficiency Ratio" fld="8" subtotal="average" baseField="0" baseItem="1" numFmtId="9"/>
  </dataFields>
  <formats count="4">
    <format dxfId="12">
      <pivotArea outline="0" collapsedLevelsAreSubtotals="1" fieldPosition="0"/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72C9E-A7C3-489A-A520-E1F3BC56366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3" firstHeaderRow="1" firstDataRow="1" firstDataCol="0"/>
  <pivotFields count="12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ataField="1" numFmtId="3" showAll="0"/>
    <pivotField showAll="0"/>
    <pivotField showAll="0"/>
    <pivotField numFmtId="8" showAll="0"/>
    <pivotField showAll="0"/>
    <pivotField numFmtId="9" showAll="0"/>
    <pivotField showAll="0"/>
    <pivotField showAll="0"/>
    <pivotField numFmtId="9" showAll="0"/>
    <pivotField numFmtId="6" showAll="0"/>
  </pivotFields>
  <rowItems count="1">
    <i/>
  </rowItems>
  <colItems count="1">
    <i/>
  </colItems>
  <dataFields count="1">
    <dataField name="Sum of Total Energy Consumption (kWh)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DCAB6-535F-405C-9B88-55773FDF8C3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Utility">
  <location ref="M3:N8" firstHeaderRow="1" firstDataRow="1" firstDataCol="1"/>
  <pivotFields count="12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numFmtId="3" showAll="0"/>
    <pivotField showAll="0"/>
    <pivotField dataField="1" showAll="0"/>
    <pivotField numFmtId="8" showAll="0"/>
    <pivotField showAll="0"/>
    <pivotField numFmtId="9" showAll="0"/>
    <pivotField showAll="0"/>
    <pivotField showAll="0"/>
    <pivotField numFmtId="9" showAll="0"/>
    <pivotField numFmtId="6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tility Downtime (Hours)" fld="4" baseField="0" baseItem="0"/>
  </dataFields>
  <formats count="5"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outline="0" axis="axisValues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</formats>
  <chartFormats count="5"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8FC36-AED5-4F74-940A-98CCA453FE07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Utility">
  <location ref="T2:W7" firstHeaderRow="0" firstDataRow="1" firstDataCol="1"/>
  <pivotFields count="12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numFmtId="3" showAll="0"/>
    <pivotField showAll="0"/>
    <pivotField dataField="1" showAll="0"/>
    <pivotField numFmtId="8" showAll="0"/>
    <pivotField showAll="0"/>
    <pivotField numFmtId="9" showAll="0"/>
    <pivotField showAll="0"/>
    <pivotField showAll="0"/>
    <pivotField numFmtId="9" showAll="0"/>
    <pivotField dataField="1" numFmtId="6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intenance Cost of Utility Systems" fld="11" baseField="0" baseItem="0" numFmtId="164"/>
    <dataField name="Sum of Utility Downtime (Hours)" fld="4" baseField="0" baseItem="0"/>
    <dataField name="Sum of Total Energy Consumption (kWh)" fld="2" baseField="0" baseItem="0"/>
  </dataFields>
  <formats count="6">
    <format dxfId="23">
      <pivotArea outline="0" collapsedLevelsAreSubtotals="1" fieldPosition="0"/>
    </format>
    <format dxfId="22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1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">
      <pivotArea grandRow="1" outline="0" collapsedLevelsAreSubtotals="1" fieldPosition="0"/>
    </format>
    <format dxfId="1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18CE8-8817-4E70-8346-87EDC8E3FBF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Months">
  <location ref="I3:K16" firstHeaderRow="0" firstDataRow="1" firstDataCol="1"/>
  <pivotFields count="1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ataField="1" numFmtId="3" showAll="0"/>
    <pivotField showAll="0"/>
    <pivotField showAll="0">
      <items count="13">
        <item x="6"/>
        <item x="2"/>
        <item x="10"/>
        <item x="0"/>
        <item x="4"/>
        <item x="8"/>
        <item x="1"/>
        <item x="3"/>
        <item x="7"/>
        <item x="5"/>
        <item x="9"/>
        <item x="11"/>
        <item t="default"/>
      </items>
    </pivotField>
    <pivotField dataField="1" numFmtId="8" showAll="0"/>
    <pivotField showAll="0"/>
    <pivotField numFmtId="9" showAll="0"/>
    <pivotField showAll="0"/>
    <pivotField showAll="0"/>
    <pivotField numFmtId="9" showAll="0"/>
    <pivotField numFmtId="6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nergy Cost per Unit Produced" fld="5" baseField="0" baseItem="0" numFmtId="8"/>
    <dataField name="Average of Total Energy Consumption (kWh)" fld="2" subtotal="average" baseField="0" baseItem="7" numFmtId="1"/>
  </dataFields>
  <formats count="6">
    <format dxfId="29">
      <pivotArea outline="0" collapsedLevelsAreSubtotals="1" fieldPosition="0"/>
    </format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field="0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grandRow="1" outline="0" collapsedLevelsAreSubtotals="1" fieldPosition="0"/>
    </format>
    <format dxfId="24">
      <pivotArea dataOnly="0" labelOnly="1" grandRow="1" outline="0" fieldPosition="0"/>
    </format>
  </formats>
  <chartFormats count="14">
    <chartFormat chart="13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3" format="3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3" format="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3" format="39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3" format="40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3" format="4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13" format="42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13" format="43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13" format="44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13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42700-1A5A-48D4-BA95-53EC75403EC6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Months">
  <location ref="T27:U40" firstHeaderRow="1" firstDataRow="1" firstDataCol="1"/>
  <pivotFields count="1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3" showAll="0"/>
    <pivotField showAll="0"/>
    <pivotField showAll="0"/>
    <pivotField numFmtId="8" showAll="0"/>
    <pivotField showAll="0"/>
    <pivotField numFmtId="9" showAll="0"/>
    <pivotField showAll="0"/>
    <pivotField showAll="0"/>
    <pivotField numFmtId="9" showAll="0"/>
    <pivotField dataField="1" numFmtId="6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aintenance Cost of Utility Systems" fld="11" baseField="0" baseItem="0" numFmtId="164"/>
  </dataFields>
  <formats count="3"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outline="0" axis="axisValues" fieldPosition="0"/>
    </format>
  </formats>
  <chartFormats count="1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3E7C-C252-46FA-B0CB-5E7C76B2D046}">
  <dimension ref="A1:L13"/>
  <sheetViews>
    <sheetView zoomScale="63" workbookViewId="0">
      <selection activeCell="D4" sqref="D4"/>
    </sheetView>
  </sheetViews>
  <sheetFormatPr defaultRowHeight="14.4" x14ac:dyDescent="0.3"/>
  <cols>
    <col min="2" max="2" width="21" customWidth="1"/>
    <col min="3" max="3" width="22.6640625" customWidth="1"/>
    <col min="4" max="4" width="26.109375" customWidth="1"/>
    <col min="5" max="5" width="17.77734375" customWidth="1"/>
    <col min="6" max="6" width="18.88671875" customWidth="1"/>
    <col min="7" max="7" width="22.109375" customWidth="1"/>
    <col min="8" max="8" width="20.44140625" customWidth="1"/>
    <col min="9" max="9" width="17.33203125" customWidth="1"/>
    <col min="10" max="10" width="29.44140625" customWidth="1"/>
    <col min="11" max="12" width="17.33203125" customWidth="1"/>
  </cols>
  <sheetData>
    <row r="1" spans="1:12" ht="46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4">
        <v>520000</v>
      </c>
      <c r="D2" s="2">
        <v>4.8</v>
      </c>
      <c r="E2" s="2">
        <v>18</v>
      </c>
      <c r="F2" s="5">
        <v>3.2</v>
      </c>
      <c r="G2" s="2">
        <v>920</v>
      </c>
      <c r="H2" s="7">
        <v>0.95</v>
      </c>
      <c r="I2" s="2">
        <v>0.88</v>
      </c>
      <c r="J2" s="2">
        <v>42</v>
      </c>
      <c r="K2" s="7">
        <v>0.06</v>
      </c>
      <c r="L2" s="9">
        <v>240000</v>
      </c>
    </row>
    <row r="3" spans="1:12" x14ac:dyDescent="0.3">
      <c r="A3" s="2" t="s">
        <v>14</v>
      </c>
      <c r="B3" s="2" t="s">
        <v>15</v>
      </c>
      <c r="C3" s="4">
        <v>540000</v>
      </c>
      <c r="D3" s="2">
        <v>5</v>
      </c>
      <c r="E3" s="2">
        <v>22</v>
      </c>
      <c r="F3" s="5">
        <v>3.35</v>
      </c>
      <c r="G3" s="2">
        <v>960</v>
      </c>
      <c r="H3" s="7">
        <v>0.94</v>
      </c>
      <c r="I3" s="2">
        <v>0.86</v>
      </c>
      <c r="J3" s="2">
        <v>45</v>
      </c>
      <c r="K3" s="7">
        <v>7.0000000000000007E-2</v>
      </c>
      <c r="L3" s="9">
        <v>255000</v>
      </c>
    </row>
    <row r="4" spans="1:12" x14ac:dyDescent="0.3">
      <c r="A4" s="2" t="s">
        <v>16</v>
      </c>
      <c r="B4" s="2" t="s">
        <v>17</v>
      </c>
      <c r="C4" s="4">
        <v>505000</v>
      </c>
      <c r="D4" s="2">
        <v>4.5999999999999996</v>
      </c>
      <c r="E4" s="2">
        <v>15</v>
      </c>
      <c r="F4" s="5">
        <v>3.1</v>
      </c>
      <c r="G4" s="2">
        <v>890</v>
      </c>
      <c r="H4" s="7">
        <v>0.96</v>
      </c>
      <c r="I4" s="2">
        <v>0.9</v>
      </c>
      <c r="J4" s="2">
        <v>40</v>
      </c>
      <c r="K4" s="7">
        <v>0.05</v>
      </c>
      <c r="L4" s="9">
        <v>220000</v>
      </c>
    </row>
    <row r="5" spans="1:12" x14ac:dyDescent="0.3">
      <c r="A5" s="2" t="s">
        <v>18</v>
      </c>
      <c r="B5" s="2" t="s">
        <v>19</v>
      </c>
      <c r="C5" s="4">
        <v>575000</v>
      </c>
      <c r="D5" s="2">
        <v>5.3</v>
      </c>
      <c r="E5" s="2">
        <v>26</v>
      </c>
      <c r="F5" s="5">
        <v>3.5</v>
      </c>
      <c r="G5" s="4">
        <v>1020</v>
      </c>
      <c r="H5" s="7">
        <v>0.92</v>
      </c>
      <c r="I5" s="2">
        <v>0.84</v>
      </c>
      <c r="J5" s="2">
        <v>48</v>
      </c>
      <c r="K5" s="7">
        <v>0.08</v>
      </c>
      <c r="L5" s="9">
        <v>270000</v>
      </c>
    </row>
    <row r="6" spans="1:12" x14ac:dyDescent="0.3">
      <c r="A6" s="2" t="s">
        <v>20</v>
      </c>
      <c r="B6" s="2" t="s">
        <v>13</v>
      </c>
      <c r="C6" s="4">
        <v>530000</v>
      </c>
      <c r="D6" s="2">
        <v>4.9000000000000004</v>
      </c>
      <c r="E6" s="2">
        <v>19</v>
      </c>
      <c r="F6" s="5">
        <v>3.25</v>
      </c>
      <c r="G6" s="2">
        <v>940</v>
      </c>
      <c r="H6" s="7">
        <v>0.95</v>
      </c>
      <c r="I6" s="2">
        <v>0.88</v>
      </c>
      <c r="J6" s="2">
        <v>43</v>
      </c>
      <c r="K6" s="7">
        <v>0.06</v>
      </c>
      <c r="L6" s="9">
        <v>245000</v>
      </c>
    </row>
    <row r="7" spans="1:12" x14ac:dyDescent="0.3">
      <c r="A7" s="2" t="s">
        <v>21</v>
      </c>
      <c r="B7" s="2" t="s">
        <v>15</v>
      </c>
      <c r="C7" s="4">
        <v>610000</v>
      </c>
      <c r="D7" s="2">
        <v>5.7</v>
      </c>
      <c r="E7" s="2">
        <v>30</v>
      </c>
      <c r="F7" s="5">
        <v>3.7</v>
      </c>
      <c r="G7" s="4">
        <v>1100</v>
      </c>
      <c r="H7" s="7">
        <v>0.91</v>
      </c>
      <c r="I7" s="2">
        <v>0.82</v>
      </c>
      <c r="J7" s="2">
        <v>50</v>
      </c>
      <c r="K7" s="7">
        <v>0.09</v>
      </c>
      <c r="L7" s="9">
        <v>295000</v>
      </c>
    </row>
    <row r="8" spans="1:12" x14ac:dyDescent="0.3">
      <c r="A8" s="2" t="s">
        <v>22</v>
      </c>
      <c r="B8" s="2" t="s">
        <v>17</v>
      </c>
      <c r="C8" s="4">
        <v>495000</v>
      </c>
      <c r="D8" s="2">
        <v>4.5</v>
      </c>
      <c r="E8" s="2">
        <v>14</v>
      </c>
      <c r="F8" s="5">
        <v>3.05</v>
      </c>
      <c r="G8" s="2">
        <v>870</v>
      </c>
      <c r="H8" s="7">
        <v>0.97</v>
      </c>
      <c r="I8" s="2">
        <v>0.91</v>
      </c>
      <c r="J8" s="2">
        <v>39</v>
      </c>
      <c r="K8" s="7">
        <v>0.05</v>
      </c>
      <c r="L8" s="9">
        <v>215000</v>
      </c>
    </row>
    <row r="9" spans="1:12" x14ac:dyDescent="0.3">
      <c r="A9" s="2" t="s">
        <v>23</v>
      </c>
      <c r="B9" s="2" t="s">
        <v>19</v>
      </c>
      <c r="C9" s="4">
        <v>590000</v>
      </c>
      <c r="D9" s="2">
        <v>5.5</v>
      </c>
      <c r="E9" s="2">
        <v>27</v>
      </c>
      <c r="F9" s="5">
        <v>3.55</v>
      </c>
      <c r="G9" s="4">
        <v>1050</v>
      </c>
      <c r="H9" s="7">
        <v>0.92</v>
      </c>
      <c r="I9" s="2">
        <v>0.83</v>
      </c>
      <c r="J9" s="2">
        <v>49</v>
      </c>
      <c r="K9" s="7">
        <v>0.08</v>
      </c>
      <c r="L9" s="9">
        <v>280000</v>
      </c>
    </row>
    <row r="10" spans="1:12" ht="28.8" x14ac:dyDescent="0.3">
      <c r="A10" s="2" t="s">
        <v>24</v>
      </c>
      <c r="B10" s="2" t="s">
        <v>13</v>
      </c>
      <c r="C10" s="4">
        <v>535000</v>
      </c>
      <c r="D10" s="2">
        <v>5</v>
      </c>
      <c r="E10" s="2">
        <v>20</v>
      </c>
      <c r="F10" s="5">
        <v>3.3</v>
      </c>
      <c r="G10" s="2">
        <v>950</v>
      </c>
      <c r="H10" s="7">
        <v>0.94</v>
      </c>
      <c r="I10" s="2">
        <v>0.87</v>
      </c>
      <c r="J10" s="2">
        <v>44</v>
      </c>
      <c r="K10" s="7">
        <v>0.06</v>
      </c>
      <c r="L10" s="9">
        <v>250000</v>
      </c>
    </row>
    <row r="11" spans="1:12" x14ac:dyDescent="0.3">
      <c r="A11" s="2" t="s">
        <v>25</v>
      </c>
      <c r="B11" s="2" t="s">
        <v>15</v>
      </c>
      <c r="C11" s="4">
        <v>625000</v>
      </c>
      <c r="D11" s="2">
        <v>5.8</v>
      </c>
      <c r="E11" s="2">
        <v>32</v>
      </c>
      <c r="F11" s="5">
        <v>3.75</v>
      </c>
      <c r="G11" s="4">
        <v>1120</v>
      </c>
      <c r="H11" s="7">
        <v>0.9</v>
      </c>
      <c r="I11" s="2">
        <v>0.8</v>
      </c>
      <c r="J11" s="2">
        <v>52</v>
      </c>
      <c r="K11" s="7">
        <v>0.1</v>
      </c>
      <c r="L11" s="9">
        <v>310000</v>
      </c>
    </row>
    <row r="12" spans="1:12" ht="28.8" x14ac:dyDescent="0.3">
      <c r="A12" s="2" t="s">
        <v>26</v>
      </c>
      <c r="B12" s="2" t="s">
        <v>17</v>
      </c>
      <c r="C12" s="4">
        <v>500000</v>
      </c>
      <c r="D12" s="2">
        <v>4.5999999999999996</v>
      </c>
      <c r="E12" s="2">
        <v>16</v>
      </c>
      <c r="F12" s="5">
        <v>3.1</v>
      </c>
      <c r="G12" s="2">
        <v>880</v>
      </c>
      <c r="H12" s="7">
        <v>0.96</v>
      </c>
      <c r="I12" s="2">
        <v>0.9</v>
      </c>
      <c r="J12" s="2">
        <v>41</v>
      </c>
      <c r="K12" s="7">
        <v>0.05</v>
      </c>
      <c r="L12" s="9">
        <v>220000</v>
      </c>
    </row>
    <row r="13" spans="1:12" ht="28.8" x14ac:dyDescent="0.3">
      <c r="A13" s="2" t="s">
        <v>27</v>
      </c>
      <c r="B13" s="2" t="s">
        <v>19</v>
      </c>
      <c r="C13" s="4">
        <v>640000</v>
      </c>
      <c r="D13" s="2">
        <v>6</v>
      </c>
      <c r="E13" s="2">
        <v>35</v>
      </c>
      <c r="F13" s="5">
        <v>3.9</v>
      </c>
      <c r="G13" s="4">
        <v>1150</v>
      </c>
      <c r="H13" s="7">
        <v>0.89</v>
      </c>
      <c r="I13" s="2">
        <v>0.78</v>
      </c>
      <c r="J13" s="2">
        <v>55</v>
      </c>
      <c r="K13" s="7">
        <v>0.11</v>
      </c>
      <c r="L13" s="9">
        <v>330000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E3CD-2031-4616-AE71-3B02302BF07C}">
  <dimension ref="B2:Y40"/>
  <sheetViews>
    <sheetView zoomScale="64" zoomScaleNormal="25" workbookViewId="0">
      <selection activeCell="K13" sqref="I3:K16"/>
    </sheetView>
  </sheetViews>
  <sheetFormatPr defaultRowHeight="14.4" x14ac:dyDescent="0.3"/>
  <cols>
    <col min="2" max="2" width="38" bestFit="1" customWidth="1"/>
    <col min="5" max="5" width="69.109375" bestFit="1" customWidth="1"/>
    <col min="6" max="6" width="22.5546875" customWidth="1"/>
    <col min="7" max="7" width="41.88671875" bestFit="1" customWidth="1"/>
    <col min="8" max="8" width="28.6640625" bestFit="1" customWidth="1"/>
    <col min="9" max="9" width="23" bestFit="1" customWidth="1"/>
    <col min="10" max="10" width="37.109375" bestFit="1" customWidth="1"/>
    <col min="11" max="11" width="31.6640625" bestFit="1" customWidth="1"/>
    <col min="12" max="12" width="37.6640625" bestFit="1" customWidth="1"/>
    <col min="13" max="13" width="23" bestFit="1" customWidth="1"/>
    <col min="14" max="14" width="30.33203125" bestFit="1" customWidth="1"/>
    <col min="20" max="20" width="11.44140625" bestFit="1" customWidth="1"/>
    <col min="21" max="21" width="40.21875" bestFit="1" customWidth="1"/>
    <col min="22" max="22" width="30.33203125" bestFit="1" customWidth="1"/>
    <col min="23" max="23" width="37.109375" bestFit="1" customWidth="1"/>
    <col min="24" max="24" width="29.6640625" bestFit="1" customWidth="1"/>
    <col min="25" max="25" width="16.44140625" bestFit="1" customWidth="1"/>
    <col min="26" max="26" width="16.6640625" bestFit="1" customWidth="1"/>
    <col min="27" max="27" width="19.77734375" bestFit="1" customWidth="1"/>
    <col min="28" max="28" width="29.6640625" bestFit="1" customWidth="1"/>
    <col min="29" max="29" width="48.77734375" bestFit="1" customWidth="1"/>
    <col min="30" max="30" width="76.6640625" bestFit="1" customWidth="1"/>
    <col min="31" max="31" width="19.77734375" bestFit="1" customWidth="1"/>
    <col min="32" max="32" width="29.6640625" bestFit="1" customWidth="1"/>
    <col min="33" max="33" width="52.77734375" bestFit="1" customWidth="1"/>
    <col min="34" max="34" width="48.77734375" bestFit="1" customWidth="1"/>
    <col min="35" max="35" width="76.6640625" bestFit="1" customWidth="1"/>
    <col min="36" max="36" width="29.6640625" bestFit="1" customWidth="1"/>
    <col min="37" max="37" width="52.77734375" bestFit="1" customWidth="1"/>
    <col min="38" max="38" width="63.88671875" bestFit="1" customWidth="1"/>
    <col min="39" max="39" width="48.77734375" bestFit="1" customWidth="1"/>
    <col min="40" max="40" width="76.6640625" bestFit="1" customWidth="1"/>
    <col min="41" max="41" width="52.77734375" bestFit="1" customWidth="1"/>
    <col min="42" max="42" width="63.88671875" bestFit="1" customWidth="1"/>
    <col min="43" max="43" width="48.77734375" bestFit="1" customWidth="1"/>
    <col min="44" max="44" width="76.6640625" bestFit="1" customWidth="1"/>
    <col min="45" max="45" width="54.21875" bestFit="1" customWidth="1"/>
    <col min="46" max="46" width="52.77734375" bestFit="1" customWidth="1"/>
    <col min="47" max="47" width="63.88671875" bestFit="1" customWidth="1"/>
    <col min="48" max="48" width="48.77734375" bestFit="1" customWidth="1"/>
    <col min="49" max="49" width="76.6640625" bestFit="1" customWidth="1"/>
    <col min="50" max="50" width="54.21875" bestFit="1" customWidth="1"/>
  </cols>
  <sheetData>
    <row r="2" spans="2:23" x14ac:dyDescent="0.3">
      <c r="B2" t="s">
        <v>28</v>
      </c>
      <c r="T2" s="14" t="s">
        <v>45</v>
      </c>
      <c r="U2" s="14" t="s">
        <v>37</v>
      </c>
      <c r="V2" s="14" t="s">
        <v>31</v>
      </c>
      <c r="W2" s="14" t="s">
        <v>28</v>
      </c>
    </row>
    <row r="3" spans="2:23" x14ac:dyDescent="0.3">
      <c r="B3" s="3">
        <v>6665000</v>
      </c>
      <c r="F3" s="14" t="s">
        <v>35</v>
      </c>
      <c r="G3" s="14" t="s">
        <v>38</v>
      </c>
      <c r="I3" s="14" t="s">
        <v>44</v>
      </c>
      <c r="J3" s="14" t="s">
        <v>29</v>
      </c>
      <c r="K3" s="14" t="s">
        <v>39</v>
      </c>
      <c r="M3" s="14" t="s">
        <v>45</v>
      </c>
      <c r="N3" s="14" t="s">
        <v>31</v>
      </c>
      <c r="T3" s="11" t="s">
        <v>15</v>
      </c>
      <c r="U3" s="12">
        <v>860000</v>
      </c>
      <c r="V3">
        <v>84</v>
      </c>
      <c r="W3">
        <v>1775000</v>
      </c>
    </row>
    <row r="4" spans="2:23" x14ac:dyDescent="0.3">
      <c r="F4" s="11" t="s">
        <v>17</v>
      </c>
      <c r="G4" s="12">
        <v>218333.33333333334</v>
      </c>
      <c r="I4" s="11" t="s">
        <v>12</v>
      </c>
      <c r="J4" s="12">
        <v>3.2</v>
      </c>
      <c r="K4" s="10">
        <v>520000</v>
      </c>
      <c r="M4" s="11" t="s">
        <v>15</v>
      </c>
      <c r="N4">
        <v>84</v>
      </c>
      <c r="T4" s="11" t="s">
        <v>13</v>
      </c>
      <c r="U4" s="12">
        <v>735000</v>
      </c>
      <c r="V4">
        <v>57</v>
      </c>
      <c r="W4">
        <v>1585000</v>
      </c>
    </row>
    <row r="5" spans="2:23" x14ac:dyDescent="0.3">
      <c r="B5" t="s">
        <v>30</v>
      </c>
      <c r="F5" s="11" t="s">
        <v>13</v>
      </c>
      <c r="G5" s="12">
        <v>245000</v>
      </c>
      <c r="I5" s="11" t="s">
        <v>14</v>
      </c>
      <c r="J5" s="12">
        <v>3.35</v>
      </c>
      <c r="K5" s="10">
        <v>540000</v>
      </c>
      <c r="M5" s="11" t="s">
        <v>13</v>
      </c>
      <c r="N5">
        <v>57</v>
      </c>
      <c r="T5" s="11" t="s">
        <v>17</v>
      </c>
      <c r="U5" s="12">
        <v>655000</v>
      </c>
      <c r="V5">
        <v>45</v>
      </c>
      <c r="W5">
        <v>1500000</v>
      </c>
    </row>
    <row r="6" spans="2:23" x14ac:dyDescent="0.3">
      <c r="B6" s="8">
        <v>3.3958333333333335</v>
      </c>
      <c r="F6" s="11" t="s">
        <v>15</v>
      </c>
      <c r="G6" s="12">
        <v>286666.66666666669</v>
      </c>
      <c r="I6" s="11" t="s">
        <v>16</v>
      </c>
      <c r="J6" s="12">
        <v>3.1</v>
      </c>
      <c r="K6" s="10">
        <v>505000</v>
      </c>
      <c r="M6" s="11" t="s">
        <v>17</v>
      </c>
      <c r="N6">
        <v>45</v>
      </c>
      <c r="T6" s="11" t="s">
        <v>19</v>
      </c>
      <c r="U6" s="12">
        <v>880000</v>
      </c>
      <c r="V6">
        <v>88</v>
      </c>
      <c r="W6">
        <v>1805000</v>
      </c>
    </row>
    <row r="7" spans="2:23" x14ac:dyDescent="0.3">
      <c r="F7" s="11" t="s">
        <v>19</v>
      </c>
      <c r="G7" s="12">
        <v>293333.33333333331</v>
      </c>
      <c r="I7" s="11" t="s">
        <v>18</v>
      </c>
      <c r="J7" s="12">
        <v>3.5</v>
      </c>
      <c r="K7" s="10">
        <v>575000</v>
      </c>
      <c r="M7" s="11" t="s">
        <v>19</v>
      </c>
      <c r="N7">
        <v>88</v>
      </c>
      <c r="T7" s="15" t="s">
        <v>36</v>
      </c>
      <c r="U7" s="16">
        <v>3130000</v>
      </c>
      <c r="V7" s="14">
        <v>274</v>
      </c>
      <c r="W7" s="14">
        <v>6665000</v>
      </c>
    </row>
    <row r="8" spans="2:23" x14ac:dyDescent="0.3">
      <c r="B8" t="s">
        <v>32</v>
      </c>
      <c r="F8" s="15" t="s">
        <v>36</v>
      </c>
      <c r="G8" s="16">
        <v>260833.33333333334</v>
      </c>
      <c r="I8" s="11" t="s">
        <v>20</v>
      </c>
      <c r="J8" s="12">
        <v>3.25</v>
      </c>
      <c r="K8" s="10">
        <v>530000</v>
      </c>
      <c r="M8" s="15" t="s">
        <v>36</v>
      </c>
      <c r="N8" s="14">
        <v>274</v>
      </c>
    </row>
    <row r="9" spans="2:23" x14ac:dyDescent="0.3">
      <c r="B9" s="10">
        <v>22.833333333333332</v>
      </c>
      <c r="I9" s="11" t="s">
        <v>21</v>
      </c>
      <c r="J9" s="12">
        <v>3.7</v>
      </c>
      <c r="K9" s="10">
        <v>610000</v>
      </c>
      <c r="T9" s="11"/>
    </row>
    <row r="10" spans="2:23" x14ac:dyDescent="0.3">
      <c r="I10" s="11" t="s">
        <v>22</v>
      </c>
      <c r="J10" s="12">
        <v>3.05</v>
      </c>
      <c r="K10" s="10">
        <v>495000</v>
      </c>
      <c r="T10" s="11"/>
      <c r="U10" s="12"/>
    </row>
    <row r="11" spans="2:23" x14ac:dyDescent="0.3">
      <c r="B11" t="s">
        <v>33</v>
      </c>
      <c r="I11" s="11" t="s">
        <v>23</v>
      </c>
      <c r="J11" s="12">
        <v>3.55</v>
      </c>
      <c r="K11" s="10">
        <v>590000</v>
      </c>
      <c r="T11" s="11"/>
      <c r="U11" s="12"/>
    </row>
    <row r="12" spans="2:23" x14ac:dyDescent="0.3">
      <c r="B12" s="10">
        <v>987.5</v>
      </c>
      <c r="I12" s="11" t="s">
        <v>24</v>
      </c>
      <c r="J12" s="12">
        <v>3.3</v>
      </c>
      <c r="K12" s="10">
        <v>535000</v>
      </c>
      <c r="T12" s="11" t="s">
        <v>15</v>
      </c>
      <c r="U12" s="12">
        <v>860000</v>
      </c>
      <c r="V12">
        <v>84</v>
      </c>
      <c r="W12">
        <v>1775000</v>
      </c>
    </row>
    <row r="13" spans="2:23" x14ac:dyDescent="0.3">
      <c r="I13" s="11" t="s">
        <v>25</v>
      </c>
      <c r="J13" s="12">
        <v>3.75</v>
      </c>
      <c r="K13" s="10">
        <v>625000</v>
      </c>
      <c r="T13" s="11" t="s">
        <v>13</v>
      </c>
      <c r="U13" s="12">
        <v>735000</v>
      </c>
      <c r="V13">
        <v>57</v>
      </c>
      <c r="W13">
        <v>1585000</v>
      </c>
    </row>
    <row r="14" spans="2:23" x14ac:dyDescent="0.3">
      <c r="B14" t="s">
        <v>34</v>
      </c>
      <c r="I14" s="11" t="s">
        <v>26</v>
      </c>
      <c r="J14" s="12">
        <v>3.1</v>
      </c>
      <c r="K14" s="10">
        <v>500000</v>
      </c>
      <c r="T14" s="11" t="s">
        <v>17</v>
      </c>
      <c r="U14" s="12">
        <v>655000</v>
      </c>
      <c r="V14">
        <v>45</v>
      </c>
      <c r="W14">
        <v>1500000</v>
      </c>
    </row>
    <row r="15" spans="2:23" x14ac:dyDescent="0.3">
      <c r="B15" s="6">
        <v>0.85583333333333345</v>
      </c>
      <c r="I15" s="11" t="s">
        <v>27</v>
      </c>
      <c r="J15" s="12">
        <v>3.9</v>
      </c>
      <c r="K15" s="10">
        <v>640000</v>
      </c>
      <c r="T15" s="11" t="s">
        <v>19</v>
      </c>
      <c r="U15" s="12">
        <v>880000</v>
      </c>
      <c r="V15">
        <v>88</v>
      </c>
      <c r="W15">
        <v>1805000</v>
      </c>
    </row>
    <row r="16" spans="2:23" x14ac:dyDescent="0.3">
      <c r="I16" s="15" t="s">
        <v>36</v>
      </c>
      <c r="J16" s="16">
        <v>40.75</v>
      </c>
      <c r="K16" s="17">
        <v>555416.66666666663</v>
      </c>
    </row>
    <row r="27" spans="9:25" x14ac:dyDescent="0.3">
      <c r="T27" s="14" t="s">
        <v>44</v>
      </c>
      <c r="U27" s="14" t="s">
        <v>37</v>
      </c>
    </row>
    <row r="28" spans="9:25" x14ac:dyDescent="0.3">
      <c r="I28" s="14" t="s">
        <v>40</v>
      </c>
      <c r="J28" s="14" t="s">
        <v>28</v>
      </c>
      <c r="K28" s="14" t="s">
        <v>34</v>
      </c>
      <c r="T28" s="11" t="s">
        <v>12</v>
      </c>
      <c r="U28" s="12">
        <v>240000</v>
      </c>
    </row>
    <row r="29" spans="9:25" x14ac:dyDescent="0.3">
      <c r="I29" s="11" t="s">
        <v>15</v>
      </c>
      <c r="J29">
        <v>1775000</v>
      </c>
      <c r="K29" s="6">
        <v>0.82666666666666666</v>
      </c>
      <c r="T29" s="11" t="s">
        <v>14</v>
      </c>
      <c r="U29" s="12">
        <v>255000</v>
      </c>
    </row>
    <row r="30" spans="9:25" x14ac:dyDescent="0.3">
      <c r="I30" s="11" t="s">
        <v>13</v>
      </c>
      <c r="J30">
        <v>1585000</v>
      </c>
      <c r="K30" s="6">
        <v>0.87666666666666659</v>
      </c>
      <c r="T30" s="11" t="s">
        <v>16</v>
      </c>
      <c r="U30" s="12">
        <v>220000</v>
      </c>
    </row>
    <row r="31" spans="9:25" x14ac:dyDescent="0.3">
      <c r="I31" s="11" t="s">
        <v>17</v>
      </c>
      <c r="J31">
        <v>1500000</v>
      </c>
      <c r="K31" s="6">
        <v>0.90333333333333332</v>
      </c>
      <c r="T31" s="11" t="s">
        <v>18</v>
      </c>
      <c r="U31" s="12">
        <v>270000</v>
      </c>
      <c r="X31" s="13"/>
      <c r="Y31" s="13"/>
    </row>
    <row r="32" spans="9:25" x14ac:dyDescent="0.3">
      <c r="I32" s="11" t="s">
        <v>19</v>
      </c>
      <c r="J32">
        <v>1805000</v>
      </c>
      <c r="K32" s="6">
        <v>0.81666666666666676</v>
      </c>
      <c r="T32" s="11" t="s">
        <v>20</v>
      </c>
      <c r="U32" s="12">
        <v>245000</v>
      </c>
    </row>
    <row r="33" spans="9:21" x14ac:dyDescent="0.3">
      <c r="I33" s="11" t="s">
        <v>36</v>
      </c>
      <c r="J33">
        <v>6665000</v>
      </c>
      <c r="K33" s="6">
        <v>0.85583333333333345</v>
      </c>
      <c r="T33" s="11" t="s">
        <v>21</v>
      </c>
      <c r="U33" s="12">
        <v>295000</v>
      </c>
    </row>
    <row r="34" spans="9:21" x14ac:dyDescent="0.3">
      <c r="T34" s="11" t="s">
        <v>22</v>
      </c>
      <c r="U34" s="12">
        <v>215000</v>
      </c>
    </row>
    <row r="35" spans="9:21" x14ac:dyDescent="0.3">
      <c r="I35" s="11" t="s">
        <v>42</v>
      </c>
      <c r="J35" t="s">
        <v>41</v>
      </c>
      <c r="K35" t="s">
        <v>43</v>
      </c>
      <c r="T35" s="11" t="s">
        <v>23</v>
      </c>
      <c r="U35" s="12">
        <v>280000</v>
      </c>
    </row>
    <row r="36" spans="9:21" x14ac:dyDescent="0.3">
      <c r="I36" s="11" t="s">
        <v>15</v>
      </c>
      <c r="J36">
        <v>1775000</v>
      </c>
      <c r="K36" s="6">
        <v>0.82666666666666666</v>
      </c>
      <c r="T36" s="11" t="s">
        <v>24</v>
      </c>
      <c r="U36" s="12">
        <v>250000</v>
      </c>
    </row>
    <row r="37" spans="9:21" x14ac:dyDescent="0.3">
      <c r="I37" s="11" t="s">
        <v>13</v>
      </c>
      <c r="J37">
        <v>1585000</v>
      </c>
      <c r="K37" s="6">
        <v>0.87666666666666659</v>
      </c>
      <c r="T37" s="11" t="s">
        <v>25</v>
      </c>
      <c r="U37" s="12">
        <v>310000</v>
      </c>
    </row>
    <row r="38" spans="9:21" x14ac:dyDescent="0.3">
      <c r="I38" s="11" t="s">
        <v>17</v>
      </c>
      <c r="J38">
        <v>1500000</v>
      </c>
      <c r="K38" s="6">
        <v>0.90333333333333332</v>
      </c>
      <c r="T38" s="11" t="s">
        <v>26</v>
      </c>
      <c r="U38" s="12">
        <v>220000</v>
      </c>
    </row>
    <row r="39" spans="9:21" x14ac:dyDescent="0.3">
      <c r="I39" s="11" t="s">
        <v>19</v>
      </c>
      <c r="J39">
        <v>1805000</v>
      </c>
      <c r="K39" s="6">
        <v>0.81666666666666676</v>
      </c>
      <c r="T39" s="11" t="s">
        <v>27</v>
      </c>
      <c r="U39" s="12">
        <v>330000</v>
      </c>
    </row>
    <row r="40" spans="9:21" x14ac:dyDescent="0.3">
      <c r="T40" s="11" t="s">
        <v>36</v>
      </c>
      <c r="U40" s="12">
        <v>3130000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0AAA-A927-4AAB-A52E-60C08ACEE80F}">
  <sheetPr>
    <pageSetUpPr fitToPage="1"/>
  </sheetPr>
  <dimension ref="A1"/>
  <sheetViews>
    <sheetView showGridLines="0" tabSelected="1" zoomScale="17" zoomScaleNormal="20" workbookViewId="0">
      <selection activeCell="E3" sqref="E3:AP164"/>
    </sheetView>
  </sheetViews>
  <sheetFormatPr defaultRowHeight="14.4" x14ac:dyDescent="0.3"/>
  <sheetData/>
  <pageMargins left="0.7" right="0.7" top="0.75" bottom="0.75" header="0.3" footer="0.3"/>
  <pageSetup paperSize="8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DATASET</vt:lpstr>
      <vt:lpstr>Pivot Table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Mudgal</dc:creator>
  <cp:lastModifiedBy>Dhruv Mudgal</cp:lastModifiedBy>
  <cp:lastPrinted>2026-03-07T09:39:42Z</cp:lastPrinted>
  <dcterms:created xsi:type="dcterms:W3CDTF">2026-03-07T04:50:58Z</dcterms:created>
  <dcterms:modified xsi:type="dcterms:W3CDTF">2026-03-07T09:40:11Z</dcterms:modified>
</cp:coreProperties>
</file>